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i unidad\01 ENERFONE\CRM Corzo\"/>
    </mc:Choice>
  </mc:AlternateContent>
  <xr:revisionPtr revIDLastSave="0" documentId="13_ncr:1_{52842916-2272-47EC-87D0-2CA4E9101F1D}" xr6:coauthVersionLast="36" xr6:coauthVersionMax="47" xr10:uidLastSave="{00000000-0000-0000-0000-000000000000}"/>
  <bookViews>
    <workbookView xWindow="0" yWindow="0" windowWidth="28800" windowHeight="12225" xr2:uid="{B0BFB2C1-6B22-421D-B0B8-A25C88527E56}"/>
  </bookViews>
  <sheets>
    <sheet name="TARIFAS CRM" sheetId="1" r:id="rId1"/>
    <sheet name="Naturgy Pymes" sheetId="2" r:id="rId2"/>
    <sheet name="Iberdrola" sheetId="3" r:id="rId3"/>
    <sheet name="AXPO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2" i="1" l="1"/>
  <c r="P132" i="1"/>
  <c r="Q132" i="1"/>
  <c r="R132" i="1"/>
  <c r="O133" i="1"/>
  <c r="P133" i="1"/>
  <c r="Q133" i="1"/>
  <c r="R133" i="1"/>
  <c r="N131" i="1"/>
  <c r="N132" i="1"/>
  <c r="N133" i="1"/>
  <c r="M132" i="1"/>
  <c r="M133" i="1"/>
  <c r="M131" i="1"/>
  <c r="G132" i="1"/>
  <c r="H132" i="1"/>
  <c r="I132" i="1"/>
  <c r="J132" i="1"/>
  <c r="K132" i="1"/>
  <c r="G133" i="1"/>
  <c r="H133" i="1"/>
  <c r="I133" i="1"/>
  <c r="J133" i="1"/>
  <c r="K133" i="1"/>
  <c r="F132" i="1"/>
  <c r="F133" i="1"/>
  <c r="G131" i="1"/>
  <c r="F131" i="1"/>
  <c r="M130" i="1"/>
  <c r="N130" i="1"/>
  <c r="O130" i="1"/>
  <c r="P130" i="1"/>
  <c r="Q130" i="1"/>
  <c r="R130" i="1"/>
  <c r="N129" i="1"/>
  <c r="O129" i="1"/>
  <c r="P129" i="1"/>
  <c r="Q129" i="1"/>
  <c r="R129" i="1"/>
  <c r="M129" i="1"/>
  <c r="N128" i="1"/>
  <c r="M128" i="1"/>
  <c r="G129" i="1"/>
  <c r="H129" i="1"/>
  <c r="I129" i="1"/>
  <c r="J129" i="1"/>
  <c r="K129" i="1"/>
  <c r="G130" i="1"/>
  <c r="H130" i="1"/>
  <c r="I130" i="1"/>
  <c r="J130" i="1"/>
  <c r="K130" i="1"/>
  <c r="F129" i="1"/>
  <c r="F130" i="1"/>
  <c r="G128" i="1"/>
  <c r="F128" i="1"/>
  <c r="N126" i="1"/>
  <c r="O126" i="1"/>
  <c r="P126" i="1"/>
  <c r="Q126" i="1"/>
  <c r="R126" i="1"/>
  <c r="N127" i="1"/>
  <c r="O127" i="1"/>
  <c r="P127" i="1"/>
  <c r="Q127" i="1"/>
  <c r="R127" i="1"/>
  <c r="M126" i="1"/>
  <c r="M127" i="1"/>
  <c r="N125" i="1"/>
  <c r="M125" i="1"/>
  <c r="G126" i="1"/>
  <c r="H126" i="1"/>
  <c r="I126" i="1"/>
  <c r="J126" i="1"/>
  <c r="K126" i="1"/>
  <c r="G127" i="1"/>
  <c r="H127" i="1"/>
  <c r="I127" i="1"/>
  <c r="J127" i="1"/>
  <c r="K127" i="1"/>
  <c r="F126" i="1"/>
  <c r="F127" i="1"/>
  <c r="G125" i="1"/>
  <c r="F125" i="1"/>
  <c r="N124" i="1"/>
  <c r="O124" i="1"/>
  <c r="P124" i="1"/>
  <c r="Q124" i="1"/>
  <c r="R124" i="1"/>
  <c r="M124" i="1"/>
  <c r="N123" i="1"/>
  <c r="M123" i="1"/>
  <c r="G124" i="1"/>
  <c r="H124" i="1"/>
  <c r="I124" i="1"/>
  <c r="J124" i="1"/>
  <c r="K124" i="1"/>
  <c r="G123" i="1"/>
  <c r="F124" i="1"/>
  <c r="F123" i="1"/>
  <c r="N122" i="1"/>
  <c r="O122" i="1"/>
  <c r="P122" i="1"/>
  <c r="Q122" i="1"/>
  <c r="R122" i="1"/>
  <c r="M122" i="1"/>
  <c r="N121" i="1"/>
  <c r="M121" i="1"/>
  <c r="G122" i="1"/>
  <c r="H122" i="1"/>
  <c r="I122" i="1"/>
  <c r="J122" i="1"/>
  <c r="K122" i="1"/>
  <c r="G121" i="1"/>
  <c r="F122" i="1"/>
  <c r="F121" i="1"/>
  <c r="N120" i="1"/>
  <c r="O120" i="1"/>
  <c r="P120" i="1"/>
  <c r="Q120" i="1"/>
  <c r="R120" i="1"/>
  <c r="M120" i="1"/>
  <c r="N119" i="1"/>
  <c r="M119" i="1"/>
  <c r="G119" i="1"/>
  <c r="G120" i="1"/>
  <c r="H120" i="1"/>
  <c r="I120" i="1"/>
  <c r="J120" i="1"/>
  <c r="K120" i="1"/>
  <c r="F120" i="1"/>
  <c r="F119" i="1"/>
  <c r="G125" i="4"/>
  <c r="F125" i="4"/>
  <c r="E125" i="4"/>
  <c r="D125" i="4"/>
  <c r="C125" i="4"/>
  <c r="B125" i="4"/>
  <c r="G124" i="4"/>
  <c r="F124" i="4"/>
  <c r="E124" i="4"/>
  <c r="D124" i="4"/>
  <c r="C124" i="4"/>
  <c r="B124" i="4"/>
  <c r="C123" i="4"/>
  <c r="B123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C116" i="4"/>
  <c r="B116" i="4"/>
  <c r="W73" i="4"/>
  <c r="V73" i="4"/>
  <c r="U73" i="4"/>
  <c r="T73" i="4"/>
  <c r="S73" i="4"/>
  <c r="R73" i="4"/>
  <c r="O73" i="4"/>
  <c r="N73" i="4"/>
  <c r="M73" i="4"/>
  <c r="L73" i="4"/>
  <c r="K73" i="4"/>
  <c r="J73" i="4"/>
  <c r="W72" i="4"/>
  <c r="V72" i="4"/>
  <c r="U72" i="4"/>
  <c r="T72" i="4"/>
  <c r="S72" i="4"/>
  <c r="R72" i="4"/>
  <c r="O72" i="4"/>
  <c r="N72" i="4"/>
  <c r="M72" i="4"/>
  <c r="L72" i="4"/>
  <c r="K72" i="4"/>
  <c r="J72" i="4"/>
  <c r="S71" i="4"/>
  <c r="R71" i="4"/>
  <c r="K71" i="4"/>
  <c r="J71" i="4"/>
  <c r="W66" i="4"/>
  <c r="V66" i="4"/>
  <c r="U66" i="4"/>
  <c r="T66" i="4"/>
  <c r="S66" i="4"/>
  <c r="R66" i="4"/>
  <c r="O66" i="4"/>
  <c r="N66" i="4"/>
  <c r="M66" i="4"/>
  <c r="L66" i="4"/>
  <c r="K66" i="4"/>
  <c r="J66" i="4"/>
  <c r="W65" i="4"/>
  <c r="V65" i="4"/>
  <c r="U65" i="4"/>
  <c r="T65" i="4"/>
  <c r="S65" i="4"/>
  <c r="R65" i="4"/>
  <c r="O65" i="4"/>
  <c r="N65" i="4"/>
  <c r="M65" i="4"/>
  <c r="L65" i="4"/>
  <c r="K65" i="4"/>
  <c r="J65" i="4"/>
  <c r="S64" i="4"/>
  <c r="R64" i="4"/>
  <c r="K64" i="4"/>
  <c r="J64" i="4"/>
  <c r="W59" i="4"/>
  <c r="V59" i="4"/>
  <c r="U59" i="4"/>
  <c r="T59" i="4"/>
  <c r="S59" i="4"/>
  <c r="R59" i="4"/>
  <c r="O59" i="4"/>
  <c r="N59" i="4"/>
  <c r="M59" i="4"/>
  <c r="L59" i="4"/>
  <c r="K59" i="4"/>
  <c r="J59" i="4"/>
  <c r="W58" i="4"/>
  <c r="V58" i="4"/>
  <c r="U58" i="4"/>
  <c r="T58" i="4"/>
  <c r="S58" i="4"/>
  <c r="R58" i="4"/>
  <c r="O58" i="4"/>
  <c r="N58" i="4"/>
  <c r="M58" i="4"/>
  <c r="L58" i="4"/>
  <c r="K58" i="4"/>
  <c r="J58" i="4"/>
  <c r="S57" i="4"/>
  <c r="R57" i="4"/>
  <c r="K57" i="4"/>
  <c r="J57" i="4"/>
  <c r="L118" i="1" l="1"/>
  <c r="L117" i="1"/>
  <c r="L116" i="1"/>
  <c r="F115" i="1"/>
  <c r="G115" i="1"/>
  <c r="G114" i="1"/>
  <c r="F114" i="1"/>
  <c r="L111" i="1"/>
  <c r="L110" i="1"/>
  <c r="L109" i="1"/>
  <c r="L113" i="1"/>
  <c r="L112" i="1"/>
  <c r="L108" i="1"/>
  <c r="L107" i="1"/>
  <c r="L106" i="1"/>
  <c r="L105" i="1"/>
  <c r="L104" i="1"/>
  <c r="L99" i="1"/>
  <c r="L98" i="1"/>
  <c r="G103" i="1"/>
  <c r="F103" i="1"/>
  <c r="N102" i="1"/>
  <c r="O102" i="1" s="1"/>
  <c r="G102" i="1"/>
  <c r="F102" i="1"/>
  <c r="N101" i="1"/>
  <c r="O101" i="1" s="1"/>
  <c r="N100" i="1"/>
  <c r="O100" i="1" s="1"/>
  <c r="L97" i="1"/>
  <c r="N95" i="1"/>
  <c r="O95" i="1" s="1"/>
  <c r="D88" i="1" l="1"/>
  <c r="F88" i="1"/>
  <c r="G88" i="1"/>
  <c r="H88" i="1"/>
  <c r="I88" i="1"/>
  <c r="J88" i="1"/>
  <c r="K88" i="1"/>
  <c r="M88" i="1"/>
  <c r="N88" i="1"/>
  <c r="O88" i="1"/>
  <c r="P88" i="1"/>
  <c r="Q88" i="1"/>
  <c r="R88" i="1"/>
  <c r="U88" i="1"/>
  <c r="X88" i="1"/>
  <c r="D89" i="1"/>
  <c r="F89" i="1"/>
  <c r="G89" i="1"/>
  <c r="H89" i="1"/>
  <c r="I89" i="1"/>
  <c r="J89" i="1"/>
  <c r="K89" i="1"/>
  <c r="M89" i="1"/>
  <c r="N89" i="1"/>
  <c r="O89" i="1"/>
  <c r="P89" i="1"/>
  <c r="Q89" i="1"/>
  <c r="R89" i="1"/>
  <c r="U89" i="1"/>
  <c r="X89" i="1"/>
  <c r="D90" i="1"/>
  <c r="F90" i="1"/>
  <c r="G90" i="1"/>
  <c r="H90" i="1"/>
  <c r="I90" i="1"/>
  <c r="J90" i="1"/>
  <c r="K90" i="1"/>
  <c r="M90" i="1"/>
  <c r="N90" i="1"/>
  <c r="O90" i="1"/>
  <c r="U90" i="1"/>
  <c r="X90" i="1"/>
  <c r="D91" i="1"/>
  <c r="F91" i="1"/>
  <c r="G91" i="1"/>
  <c r="H91" i="1"/>
  <c r="I91" i="1"/>
  <c r="J91" i="1"/>
  <c r="K91" i="1"/>
  <c r="M91" i="1"/>
  <c r="N91" i="1"/>
  <c r="O91" i="1"/>
  <c r="U91" i="1"/>
  <c r="X91" i="1"/>
  <c r="D92" i="1"/>
  <c r="F92" i="1"/>
  <c r="G92" i="1"/>
  <c r="H92" i="1"/>
  <c r="I92" i="1"/>
  <c r="J92" i="1"/>
  <c r="K92" i="1"/>
  <c r="M92" i="1"/>
  <c r="N92" i="1"/>
  <c r="O92" i="1"/>
  <c r="P92" i="1"/>
  <c r="Q92" i="1"/>
  <c r="R92" i="1"/>
  <c r="U92" i="1"/>
  <c r="X92" i="1"/>
  <c r="D93" i="1"/>
  <c r="F93" i="1"/>
  <c r="G93" i="1"/>
  <c r="H93" i="1"/>
  <c r="I93" i="1"/>
  <c r="J93" i="1"/>
  <c r="K93" i="1"/>
  <c r="M93" i="1"/>
  <c r="N93" i="1"/>
  <c r="O93" i="1"/>
  <c r="U93" i="1"/>
  <c r="X93" i="1"/>
  <c r="D94" i="1"/>
  <c r="F94" i="1"/>
  <c r="G94" i="1"/>
  <c r="H94" i="1"/>
  <c r="I94" i="1"/>
  <c r="J94" i="1"/>
  <c r="K94" i="1"/>
  <c r="M94" i="1"/>
  <c r="N94" i="1"/>
  <c r="O94" i="1"/>
  <c r="P94" i="1"/>
  <c r="Q94" i="1"/>
  <c r="R94" i="1"/>
  <c r="U94" i="1"/>
  <c r="X94" i="1"/>
  <c r="D84" i="1"/>
  <c r="F84" i="1"/>
  <c r="G84" i="1"/>
  <c r="H84" i="1"/>
  <c r="I84" i="1"/>
  <c r="J84" i="1"/>
  <c r="K84" i="1"/>
  <c r="M84" i="1"/>
  <c r="N84" i="1"/>
  <c r="O84" i="1"/>
  <c r="P84" i="1"/>
  <c r="Q84" i="1"/>
  <c r="R84" i="1"/>
  <c r="U84" i="1"/>
  <c r="X84" i="1"/>
  <c r="D85" i="1"/>
  <c r="F85" i="1"/>
  <c r="G85" i="1"/>
  <c r="H85" i="1"/>
  <c r="I85" i="1"/>
  <c r="J85" i="1"/>
  <c r="K85" i="1"/>
  <c r="M85" i="1"/>
  <c r="N85" i="1"/>
  <c r="O85" i="1"/>
  <c r="P85" i="1"/>
  <c r="Q85" i="1"/>
  <c r="R85" i="1"/>
  <c r="U85" i="1"/>
  <c r="X85" i="1"/>
  <c r="D86" i="1"/>
  <c r="F86" i="1"/>
  <c r="G86" i="1"/>
  <c r="H86" i="1"/>
  <c r="I86" i="1"/>
  <c r="J86" i="1"/>
  <c r="K86" i="1"/>
  <c r="M86" i="1"/>
  <c r="N86" i="1"/>
  <c r="O86" i="1"/>
  <c r="P86" i="1"/>
  <c r="Q86" i="1"/>
  <c r="R86" i="1"/>
  <c r="U86" i="1"/>
  <c r="X86" i="1"/>
  <c r="D87" i="1"/>
  <c r="F87" i="1"/>
  <c r="G87" i="1"/>
  <c r="H87" i="1"/>
  <c r="I87" i="1"/>
  <c r="J87" i="1"/>
  <c r="K87" i="1"/>
  <c r="M87" i="1"/>
  <c r="N87" i="1"/>
  <c r="O87" i="1"/>
  <c r="P87" i="1"/>
  <c r="Q87" i="1"/>
  <c r="R87" i="1"/>
  <c r="U87" i="1"/>
  <c r="X87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P73" i="1"/>
  <c r="Q73" i="1"/>
  <c r="R73" i="1"/>
  <c r="P74" i="1"/>
  <c r="Q74" i="1"/>
  <c r="R74" i="1"/>
  <c r="P75" i="1"/>
  <c r="Q75" i="1"/>
  <c r="R75" i="1"/>
  <c r="P76" i="1"/>
  <c r="Q76" i="1"/>
  <c r="R76" i="1"/>
  <c r="P77" i="1"/>
  <c r="Q77" i="1"/>
  <c r="R77" i="1"/>
  <c r="P78" i="1"/>
  <c r="Q78" i="1"/>
  <c r="R78" i="1"/>
  <c r="P83" i="1"/>
  <c r="Q83" i="1"/>
  <c r="R83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G62" i="1"/>
  <c r="F62" i="1"/>
  <c r="O9" i="1"/>
  <c r="N9" i="1"/>
  <c r="M9" i="1"/>
  <c r="O8" i="1"/>
  <c r="N8" i="1"/>
  <c r="M8" i="1"/>
  <c r="O7" i="1"/>
  <c r="N7" i="1"/>
  <c r="M7" i="1"/>
  <c r="U57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6" i="1"/>
  <c r="U47" i="1"/>
  <c r="U48" i="1"/>
  <c r="U49" i="1"/>
  <c r="U50" i="1"/>
  <c r="U51" i="1"/>
  <c r="U52" i="1"/>
  <c r="U53" i="1"/>
  <c r="U54" i="1"/>
  <c r="U55" i="1"/>
  <c r="U56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29" i="1"/>
  <c r="D47" i="1"/>
  <c r="F47" i="1"/>
  <c r="G47" i="1"/>
  <c r="M47" i="1"/>
  <c r="N47" i="1"/>
  <c r="O47" i="1"/>
  <c r="X47" i="1"/>
  <c r="D48" i="1"/>
  <c r="F48" i="1"/>
  <c r="G48" i="1"/>
  <c r="M48" i="1"/>
  <c r="N48" i="1"/>
  <c r="O48" i="1"/>
  <c r="X48" i="1"/>
  <c r="D49" i="1"/>
  <c r="F49" i="1"/>
  <c r="G49" i="1"/>
  <c r="M49" i="1"/>
  <c r="N49" i="1"/>
  <c r="O49" i="1"/>
  <c r="X49" i="1"/>
  <c r="D50" i="1"/>
  <c r="F50" i="1"/>
  <c r="G50" i="1"/>
  <c r="M50" i="1"/>
  <c r="N50" i="1"/>
  <c r="O50" i="1"/>
  <c r="X50" i="1"/>
  <c r="D51" i="1"/>
  <c r="F51" i="1"/>
  <c r="G51" i="1"/>
  <c r="M51" i="1"/>
  <c r="N51" i="1"/>
  <c r="O51" i="1"/>
  <c r="X51" i="1"/>
  <c r="D52" i="1"/>
  <c r="F52" i="1"/>
  <c r="G52" i="1"/>
  <c r="M52" i="1"/>
  <c r="N52" i="1"/>
  <c r="O52" i="1"/>
  <c r="X52" i="1"/>
  <c r="D53" i="1"/>
  <c r="F53" i="1"/>
  <c r="G53" i="1"/>
  <c r="M53" i="1"/>
  <c r="N53" i="1"/>
  <c r="O53" i="1"/>
  <c r="X53" i="1"/>
  <c r="D54" i="1"/>
  <c r="F54" i="1"/>
  <c r="G54" i="1"/>
  <c r="M54" i="1"/>
  <c r="N54" i="1"/>
  <c r="O54" i="1"/>
  <c r="X54" i="1"/>
  <c r="D55" i="1"/>
  <c r="F55" i="1"/>
  <c r="G55" i="1"/>
  <c r="M55" i="1"/>
  <c r="N55" i="1"/>
  <c r="O55" i="1"/>
  <c r="X55" i="1"/>
  <c r="D56" i="1"/>
  <c r="F56" i="1"/>
  <c r="G56" i="1"/>
  <c r="M56" i="1"/>
  <c r="N56" i="1"/>
  <c r="O56" i="1"/>
  <c r="X56" i="1"/>
  <c r="D57" i="1"/>
  <c r="F57" i="1"/>
  <c r="G57" i="1"/>
  <c r="M57" i="1"/>
  <c r="N57" i="1"/>
  <c r="O57" i="1"/>
  <c r="X57" i="1"/>
  <c r="D58" i="1"/>
  <c r="F58" i="1"/>
  <c r="G58" i="1"/>
  <c r="M58" i="1"/>
  <c r="N58" i="1"/>
  <c r="O58" i="1"/>
  <c r="X58" i="1"/>
  <c r="D59" i="1"/>
  <c r="F59" i="1"/>
  <c r="G59" i="1"/>
  <c r="M59" i="1"/>
  <c r="N59" i="1"/>
  <c r="O59" i="1"/>
  <c r="X59" i="1"/>
  <c r="D60" i="1"/>
  <c r="F60" i="1"/>
  <c r="G60" i="1"/>
  <c r="M60" i="1"/>
  <c r="N60" i="1"/>
  <c r="O60" i="1"/>
  <c r="X60" i="1"/>
  <c r="D61" i="1"/>
  <c r="F61" i="1"/>
  <c r="G61" i="1"/>
  <c r="M61" i="1"/>
  <c r="N61" i="1"/>
  <c r="O61" i="1"/>
  <c r="X61" i="1"/>
  <c r="D62" i="1"/>
  <c r="M62" i="1"/>
  <c r="N62" i="1"/>
  <c r="O62" i="1"/>
  <c r="X62" i="1"/>
  <c r="D63" i="1"/>
  <c r="X63" i="1"/>
  <c r="D64" i="1"/>
  <c r="X64" i="1"/>
  <c r="D65" i="1"/>
  <c r="X65" i="1"/>
  <c r="D66" i="1"/>
  <c r="X66" i="1"/>
  <c r="D67" i="1"/>
  <c r="X67" i="1"/>
  <c r="D68" i="1"/>
  <c r="X68" i="1"/>
  <c r="D69" i="1"/>
  <c r="X69" i="1"/>
  <c r="D70" i="1"/>
  <c r="X70" i="1"/>
  <c r="D71" i="1"/>
  <c r="X71" i="1"/>
  <c r="D72" i="1"/>
  <c r="X72" i="1"/>
  <c r="D73" i="1"/>
  <c r="X73" i="1"/>
  <c r="D74" i="1"/>
  <c r="X74" i="1"/>
  <c r="D75" i="1"/>
  <c r="X75" i="1"/>
  <c r="D76" i="1"/>
  <c r="X76" i="1"/>
  <c r="D77" i="1"/>
  <c r="X77" i="1"/>
  <c r="D78" i="1"/>
  <c r="X78" i="1"/>
  <c r="D79" i="1"/>
  <c r="X79" i="1"/>
  <c r="D80" i="1"/>
  <c r="X80" i="1"/>
  <c r="D81" i="1"/>
  <c r="X81" i="1"/>
  <c r="D82" i="1"/>
  <c r="X82" i="1"/>
  <c r="D83" i="1"/>
  <c r="X83" i="1"/>
  <c r="D45" i="1"/>
  <c r="F45" i="1"/>
  <c r="G45" i="1"/>
  <c r="M45" i="1"/>
  <c r="N45" i="1"/>
  <c r="O45" i="1"/>
  <c r="X45" i="1"/>
  <c r="D46" i="1"/>
  <c r="F46" i="1"/>
  <c r="G46" i="1"/>
  <c r="M46" i="1"/>
  <c r="N46" i="1"/>
  <c r="O46" i="1"/>
  <c r="X46" i="1"/>
  <c r="D36" i="1"/>
  <c r="F36" i="1"/>
  <c r="G36" i="1"/>
  <c r="M36" i="1"/>
  <c r="N36" i="1"/>
  <c r="O36" i="1"/>
  <c r="X36" i="1"/>
  <c r="D37" i="1"/>
  <c r="F37" i="1"/>
  <c r="G37" i="1"/>
  <c r="M37" i="1"/>
  <c r="N37" i="1"/>
  <c r="O37" i="1"/>
  <c r="X37" i="1"/>
  <c r="D38" i="1"/>
  <c r="F38" i="1"/>
  <c r="G38" i="1"/>
  <c r="M38" i="1"/>
  <c r="N38" i="1"/>
  <c r="O38" i="1"/>
  <c r="X38" i="1"/>
  <c r="D39" i="1"/>
  <c r="F39" i="1"/>
  <c r="G39" i="1"/>
  <c r="M39" i="1"/>
  <c r="N39" i="1"/>
  <c r="O39" i="1"/>
  <c r="X39" i="1"/>
  <c r="D40" i="1"/>
  <c r="F40" i="1"/>
  <c r="G40" i="1"/>
  <c r="M40" i="1"/>
  <c r="N40" i="1"/>
  <c r="O40" i="1"/>
  <c r="X40" i="1"/>
  <c r="D41" i="1"/>
  <c r="F41" i="1"/>
  <c r="G41" i="1"/>
  <c r="M41" i="1"/>
  <c r="N41" i="1"/>
  <c r="O41" i="1"/>
  <c r="X41" i="1"/>
  <c r="D42" i="1"/>
  <c r="F42" i="1"/>
  <c r="G42" i="1"/>
  <c r="M42" i="1"/>
  <c r="N42" i="1"/>
  <c r="O42" i="1"/>
  <c r="X42" i="1"/>
  <c r="D43" i="1"/>
  <c r="F43" i="1"/>
  <c r="G43" i="1"/>
  <c r="M43" i="1"/>
  <c r="N43" i="1"/>
  <c r="O43" i="1"/>
  <c r="X43" i="1"/>
  <c r="D44" i="1"/>
  <c r="F44" i="1"/>
  <c r="G44" i="1"/>
  <c r="M44" i="1"/>
  <c r="N44" i="1"/>
  <c r="O44" i="1"/>
  <c r="X44" i="1"/>
  <c r="D30" i="1"/>
  <c r="F30" i="1"/>
  <c r="G30" i="1"/>
  <c r="M30" i="1"/>
  <c r="N30" i="1"/>
  <c r="O30" i="1"/>
  <c r="X30" i="1"/>
  <c r="D31" i="1"/>
  <c r="F31" i="1"/>
  <c r="G31" i="1"/>
  <c r="M31" i="1"/>
  <c r="N31" i="1"/>
  <c r="O31" i="1"/>
  <c r="X31" i="1"/>
  <c r="D32" i="1"/>
  <c r="F32" i="1"/>
  <c r="G32" i="1"/>
  <c r="M32" i="1"/>
  <c r="N32" i="1"/>
  <c r="O32" i="1"/>
  <c r="X32" i="1"/>
  <c r="D33" i="1"/>
  <c r="F33" i="1"/>
  <c r="G33" i="1"/>
  <c r="M33" i="1"/>
  <c r="N33" i="1"/>
  <c r="O33" i="1"/>
  <c r="X33" i="1"/>
  <c r="D34" i="1"/>
  <c r="F34" i="1"/>
  <c r="G34" i="1"/>
  <c r="M34" i="1"/>
  <c r="N34" i="1"/>
  <c r="O34" i="1"/>
  <c r="X34" i="1"/>
  <c r="D35" i="1"/>
  <c r="F35" i="1"/>
  <c r="G35" i="1"/>
  <c r="M35" i="1"/>
  <c r="N35" i="1"/>
  <c r="O35" i="1"/>
  <c r="X35" i="1"/>
  <c r="X29" i="1"/>
  <c r="O29" i="1"/>
  <c r="N29" i="1"/>
  <c r="M29" i="1"/>
  <c r="G29" i="1"/>
  <c r="F29" i="1"/>
  <c r="D29" i="1"/>
  <c r="S28" i="1"/>
  <c r="L28" i="1"/>
  <c r="S27" i="1" l="1"/>
  <c r="S26" i="1"/>
  <c r="S25" i="1"/>
  <c r="S24" i="1"/>
  <c r="S23" i="1"/>
  <c r="S22" i="1"/>
  <c r="S21" i="1"/>
  <c r="S20" i="1"/>
  <c r="S19" i="1"/>
  <c r="L27" i="1"/>
  <c r="L26" i="1"/>
  <c r="L25" i="1"/>
  <c r="L24" i="1"/>
  <c r="L23" i="1"/>
  <c r="L22" i="1"/>
  <c r="L21" i="1"/>
  <c r="L20" i="1"/>
  <c r="L19" i="1"/>
  <c r="L18" i="1"/>
  <c r="L17" i="1"/>
  <c r="L16" i="1"/>
  <c r="N6" i="1" l="1"/>
  <c r="O6" i="1"/>
  <c r="N4" i="1"/>
  <c r="O4" i="1"/>
  <c r="M6" i="1"/>
  <c r="M4" i="1"/>
  <c r="N5" i="1"/>
  <c r="O5" i="1"/>
  <c r="M5" i="1"/>
  <c r="G5" i="1"/>
  <c r="G6" i="1"/>
  <c r="F6" i="1"/>
  <c r="F5" i="1"/>
  <c r="G4" i="1"/>
  <c r="F4" i="1"/>
  <c r="G15" i="1"/>
  <c r="H15" i="1"/>
  <c r="I15" i="1"/>
  <c r="J15" i="1"/>
  <c r="K15" i="1"/>
  <c r="G14" i="1"/>
  <c r="H14" i="1"/>
  <c r="I14" i="1"/>
  <c r="J14" i="1"/>
  <c r="K14" i="1"/>
  <c r="F15" i="1"/>
  <c r="F14" i="1"/>
  <c r="G13" i="1"/>
  <c r="H13" i="1"/>
  <c r="I13" i="1"/>
  <c r="J13" i="1"/>
  <c r="K13" i="1"/>
  <c r="F13" i="1"/>
  <c r="N12" i="1"/>
  <c r="O12" i="1"/>
  <c r="P12" i="1"/>
  <c r="Q12" i="1"/>
  <c r="R12" i="1"/>
  <c r="M12" i="1"/>
  <c r="N11" i="1"/>
  <c r="O11" i="1"/>
  <c r="P11" i="1"/>
  <c r="Q11" i="1"/>
  <c r="R11" i="1"/>
  <c r="M11" i="1"/>
  <c r="N10" i="1"/>
  <c r="O10" i="1"/>
  <c r="P10" i="1"/>
  <c r="Q10" i="1"/>
  <c r="R10" i="1"/>
  <c r="M10" i="1"/>
  <c r="G11" i="1"/>
  <c r="H11" i="1"/>
  <c r="I11" i="1"/>
  <c r="J11" i="1"/>
  <c r="K11" i="1"/>
  <c r="G12" i="1"/>
  <c r="H12" i="1"/>
  <c r="I12" i="1"/>
  <c r="J12" i="1"/>
  <c r="K12" i="1"/>
  <c r="F12" i="1"/>
  <c r="F11" i="1"/>
  <c r="G10" i="1"/>
  <c r="H10" i="1"/>
  <c r="I10" i="1"/>
  <c r="J10" i="1"/>
  <c r="K10" i="1"/>
  <c r="F10" i="1"/>
  <c r="G9" i="1"/>
  <c r="G8" i="1"/>
  <c r="F9" i="1"/>
  <c r="F8" i="1"/>
  <c r="G7" i="1"/>
  <c r="F7" i="1"/>
</calcChain>
</file>

<file path=xl/sharedStrings.xml><?xml version="1.0" encoding="utf-8"?>
<sst xmlns="http://schemas.openxmlformats.org/spreadsheetml/2006/main" count="2267" uniqueCount="368">
  <si>
    <t>COMERCIALIZADORA</t>
  </si>
  <si>
    <t>TARIFA</t>
  </si>
  <si>
    <t>TIPO</t>
  </si>
  <si>
    <t>PEAJE</t>
  </si>
  <si>
    <t>ENERGIA 1</t>
  </si>
  <si>
    <t>POTENCIA 1</t>
  </si>
  <si>
    <t>POTENCIA 2</t>
  </si>
  <si>
    <t>POTENCIA 3</t>
  </si>
  <si>
    <t>POTENCIA 4</t>
  </si>
  <si>
    <t>POTENCIA 5</t>
  </si>
  <si>
    <t>POTENCIA 6</t>
  </si>
  <si>
    <t>ENERGIA 2</t>
  </si>
  <si>
    <t>ENERGIA 3</t>
  </si>
  <si>
    <t>ENERGIA 4</t>
  </si>
  <si>
    <t>ENERGIA 5</t>
  </si>
  <si>
    <t>ENERGIA 6</t>
  </si>
  <si>
    <t>NATURGY</t>
  </si>
  <si>
    <t>POR USO LUZ</t>
  </si>
  <si>
    <t>RESIDENCIAL</t>
  </si>
  <si>
    <t>2.0</t>
  </si>
  <si>
    <t>NOCHE</t>
  </si>
  <si>
    <t>FECHA CARGA</t>
  </si>
  <si>
    <t>SELLO DE FECHA Y HORA</t>
  </si>
  <si>
    <t>ENERGIA</t>
  </si>
  <si>
    <t>LUZ</t>
  </si>
  <si>
    <t>ELECTRICIDAD</t>
  </si>
  <si>
    <t>PLAN FIJO LUZ 24h (E0008)</t>
  </si>
  <si>
    <t>M</t>
  </si>
  <si>
    <t>B</t>
  </si>
  <si>
    <t>A</t>
  </si>
  <si>
    <t>PFL ONE</t>
  </si>
  <si>
    <t>PFL SUPRA</t>
  </si>
  <si>
    <t>Consumo hasta:
(kWh/año)</t>
  </si>
  <si>
    <t xml:space="preserve">   P. TÉRMINO POTENCIA (€/kW.día) </t>
  </si>
  <si>
    <t xml:space="preserve">P1 </t>
  </si>
  <si>
    <t>P2</t>
  </si>
  <si>
    <t xml:space="preserve">P3 </t>
  </si>
  <si>
    <t>P4</t>
  </si>
  <si>
    <t>P5</t>
  </si>
  <si>
    <t>P6</t>
  </si>
  <si>
    <t>E000820TDM</t>
  </si>
  <si>
    <t>E0008</t>
  </si>
  <si>
    <t>20TD</t>
  </si>
  <si>
    <t>Plan Fijo Luz 24h 2.0</t>
  </si>
  <si>
    <t/>
  </si>
  <si>
    <t>E000820TDB</t>
  </si>
  <si>
    <t>E000820TDA</t>
  </si>
  <si>
    <t>E0008PFL ONE19999999999</t>
  </si>
  <si>
    <t>E0008PFL SUPRA19999999999</t>
  </si>
  <si>
    <t>PLAN FIJO LUZ (E0009)</t>
  </si>
  <si>
    <t>E000920TDM</t>
  </si>
  <si>
    <t>E0009</t>
  </si>
  <si>
    <t>Plan Fijo Luz 2.0 TRIHORARIO</t>
  </si>
  <si>
    <t>E000920TDB</t>
  </si>
  <si>
    <t>E000920TDA</t>
  </si>
  <si>
    <t>E0009PFL ONE19999999999</t>
  </si>
  <si>
    <t>E0009PFL SUPRA19999999999</t>
  </si>
  <si>
    <t>E000930TDM</t>
  </si>
  <si>
    <t>30TD</t>
  </si>
  <si>
    <t>Plan Fijo Luz 3.0</t>
  </si>
  <si>
    <t>E000930TDB</t>
  </si>
  <si>
    <t>E000930TDA</t>
  </si>
  <si>
    <t>E000961TDM</t>
  </si>
  <si>
    <t>61TD</t>
  </si>
  <si>
    <t>Plan Fijo Luz 6.1</t>
  </si>
  <si>
    <t>E000961TDB</t>
  </si>
  <si>
    <t>E000961TDA</t>
  </si>
  <si>
    <t>PLAN FIJO LUZ ECO (E0010)</t>
  </si>
  <si>
    <t>E001020TDM</t>
  </si>
  <si>
    <t>E0010</t>
  </si>
  <si>
    <t>Plan Fijo Luz ECO 2.0 TRIHORARIO</t>
  </si>
  <si>
    <t>E001020TDB</t>
  </si>
  <si>
    <t>E001020TDA</t>
  </si>
  <si>
    <t>E0010PFL ONE19999999999</t>
  </si>
  <si>
    <t>E0010PFL SUPRA19999999999</t>
  </si>
  <si>
    <t>E001030TDM</t>
  </si>
  <si>
    <t>Plan Fijo Luz ECO 3.0</t>
  </si>
  <si>
    <t>E001030TDB</t>
  </si>
  <si>
    <t>E001030TDA</t>
  </si>
  <si>
    <t>E001061TDM</t>
  </si>
  <si>
    <t>Plan Fijo Luz ECO 6.1</t>
  </si>
  <si>
    <t>E001061TDB</t>
  </si>
  <si>
    <t>E001061TDA</t>
  </si>
  <si>
    <t>PLAN VARIABLE LUZ (E0013)</t>
  </si>
  <si>
    <t>PNM ONE</t>
  </si>
  <si>
    <t>2.0TD</t>
  </si>
  <si>
    <t>Plan Variable Luz 2.0</t>
  </si>
  <si>
    <t>3.0TD</t>
  </si>
  <si>
    <t>Plan Variable Luz 3.0</t>
  </si>
  <si>
    <t>6.1TD</t>
  </si>
  <si>
    <t>Plan Variable Luz 6X</t>
  </si>
  <si>
    <t>TEMPORADA/OBRA</t>
  </si>
  <si>
    <t>P. TÉRMINO ENERGÍA (€/kWh)</t>
  </si>
  <si>
    <t>4200919999999999</t>
  </si>
  <si>
    <t>Contrato Temporada/Obra 2.0TD</t>
  </si>
  <si>
    <t>4202319999999999</t>
  </si>
  <si>
    <t>2.0TD Trihoraria</t>
  </si>
  <si>
    <t>Contrato Temporada/Obra Trihorario 2.0TD</t>
  </si>
  <si>
    <t>4203819999999999</t>
  </si>
  <si>
    <t>Contrato Temporada/Obra 3.0TD</t>
  </si>
  <si>
    <t>4205019999999999</t>
  </si>
  <si>
    <t>Contrato Temporada/Obra 6.XTD</t>
  </si>
  <si>
    <t>GAS</t>
  </si>
  <si>
    <t>PLAN VARIABLE GAS (G0009)</t>
  </si>
  <si>
    <t>PLAN VARIABLE GAS</t>
  </si>
  <si>
    <t>Sin Dto</t>
  </si>
  <si>
    <t>Dto                   3€/MWh TV</t>
  </si>
  <si>
    <t>Dto                              8€/MWh TV</t>
  </si>
  <si>
    <t>PRECIO TÉRMINO FIJO (€/día/cliente)</t>
  </si>
  <si>
    <t>PRECIO TÉRMINO VARIABLE (€/kWh)</t>
  </si>
  <si>
    <t>G0009RL.1A</t>
  </si>
  <si>
    <t>G0009</t>
  </si>
  <si>
    <t>RL.1</t>
  </si>
  <si>
    <t>PLAN VARIABLE GAS MENSUAL</t>
  </si>
  <si>
    <t>G0009RL.2A</t>
  </si>
  <si>
    <t>RL.2</t>
  </si>
  <si>
    <t>G0009RL.3A</t>
  </si>
  <si>
    <t>RL.3</t>
  </si>
  <si>
    <t>G0009RL.4A</t>
  </si>
  <si>
    <t>RL.4</t>
  </si>
  <si>
    <t>G0009RL.5A</t>
  </si>
  <si>
    <t>RL.5</t>
  </si>
  <si>
    <t>PLAN COMPROMISO GAS (G0007)</t>
  </si>
  <si>
    <t>PLAN COMPROMISO GAS</t>
  </si>
  <si>
    <t xml:space="preserve">
Dto
9€/MWh TV</t>
  </si>
  <si>
    <t xml:space="preserve">
Dto
3€/MWh TV</t>
  </si>
  <si>
    <t>G0007RL.1A</t>
  </si>
  <si>
    <t>G0007</t>
  </si>
  <si>
    <t>G0007RL.2A</t>
  </si>
  <si>
    <t>G0007RL.3A</t>
  </si>
  <si>
    <t>G0007RL.4A</t>
  </si>
  <si>
    <t>G0007RL.5A</t>
  </si>
  <si>
    <t xml:space="preserve">PLAN COMPROMISO GAS </t>
  </si>
  <si>
    <t>SERVICIOS</t>
  </si>
  <si>
    <t>IVA =</t>
  </si>
  <si>
    <t>IGIC =</t>
  </si>
  <si>
    <t>SIN IMPUESTOS</t>
  </si>
  <si>
    <t>CON IMPUESTOS PENINSULA y BALEARES</t>
  </si>
  <si>
    <t>CON IMPUESTOS CANARIAS</t>
  </si>
  <si>
    <t>SVG GC Complet (RL.4/RL.5)</t>
  </si>
  <si>
    <t>Dto.</t>
  </si>
  <si>
    <t>SVE GC Xpress (20TD/30TD)</t>
  </si>
  <si>
    <t>SVS GC &lt;10kWp  (2.0TD/3.0TD)</t>
  </si>
  <si>
    <t>Batería Virtual</t>
  </si>
  <si>
    <r>
      <t>Plan Fijo Luz 24h</t>
    </r>
    <r>
      <rPr>
        <b/>
        <sz val="10"/>
        <color theme="8" tint="-0.249977111117893"/>
        <rFont val="Calibri"/>
        <family val="2"/>
        <scheme val="minor"/>
      </rPr>
      <t xml:space="preserve">
</t>
    </r>
    <r>
      <rPr>
        <sz val="10"/>
        <color theme="8" tint="-0.249977111117893"/>
        <rFont val="Calibri"/>
        <family val="2"/>
        <scheme val="minor"/>
      </rPr>
      <t>TÉRMINO ENERGÍA (€/kWh)</t>
    </r>
  </si>
  <si>
    <r>
      <t xml:space="preserve">Plan Fijo Luz 24h </t>
    </r>
    <r>
      <rPr>
        <b/>
        <sz val="10"/>
        <color theme="8" tint="-0.249977111117893"/>
        <rFont val="Calibri"/>
        <family val="2"/>
        <scheme val="minor"/>
      </rPr>
      <t xml:space="preserve">ONE
</t>
    </r>
    <r>
      <rPr>
        <sz val="10"/>
        <color theme="8" tint="-0.249977111117893"/>
        <rFont val="Calibri"/>
        <family val="2"/>
        <scheme val="minor"/>
      </rPr>
      <t>TÉRMINO ENERGÍA (€/kWh)</t>
    </r>
  </si>
  <si>
    <r>
      <t xml:space="preserve">Plan Fijo Luz 24h </t>
    </r>
    <r>
      <rPr>
        <b/>
        <sz val="10"/>
        <color theme="8" tint="-0.249977111117893"/>
        <rFont val="Calibri"/>
        <family val="2"/>
        <scheme val="minor"/>
      </rPr>
      <t xml:space="preserve">SUPRA
</t>
    </r>
    <r>
      <rPr>
        <sz val="10"/>
        <color theme="8" tint="-0.249977111117893"/>
        <rFont val="Calibri"/>
        <family val="2"/>
        <scheme val="minor"/>
      </rPr>
      <t>TÉRMINO ENERGÍA (€/kWh)</t>
    </r>
  </si>
  <si>
    <r>
      <t>Plan Fijo Luz</t>
    </r>
    <r>
      <rPr>
        <b/>
        <sz val="10"/>
        <color theme="8" tint="-0.249977111117893"/>
        <rFont val="Calibri"/>
        <family val="2"/>
        <scheme val="minor"/>
      </rPr>
      <t xml:space="preserve">
</t>
    </r>
    <r>
      <rPr>
        <sz val="10"/>
        <color theme="8" tint="-0.249977111117893"/>
        <rFont val="Calibri"/>
        <family val="2"/>
        <scheme val="minor"/>
      </rPr>
      <t>TÉRMINO ENERGÍA (€/kWh)</t>
    </r>
  </si>
  <si>
    <r>
      <t xml:space="preserve">Plan Fijo Luz </t>
    </r>
    <r>
      <rPr>
        <b/>
        <sz val="10"/>
        <color theme="8" tint="-0.249977111117893"/>
        <rFont val="Calibri"/>
        <family val="2"/>
        <scheme val="minor"/>
      </rPr>
      <t xml:space="preserve">ONE
</t>
    </r>
    <r>
      <rPr>
        <sz val="10"/>
        <color theme="8" tint="-0.249977111117893"/>
        <rFont val="Calibri"/>
        <family val="2"/>
        <scheme val="minor"/>
      </rPr>
      <t>TÉRMINO ENERGÍA (€/kWh)</t>
    </r>
  </si>
  <si>
    <r>
      <t xml:space="preserve">Plan Fijo Luz </t>
    </r>
    <r>
      <rPr>
        <b/>
        <sz val="10"/>
        <color theme="8" tint="-0.249977111117893"/>
        <rFont val="Calibri"/>
        <family val="2"/>
        <scheme val="minor"/>
      </rPr>
      <t xml:space="preserve">SUPRA
</t>
    </r>
    <r>
      <rPr>
        <sz val="10"/>
        <color theme="8" tint="-0.249977111117893"/>
        <rFont val="Calibri"/>
        <family val="2"/>
        <scheme val="minor"/>
      </rPr>
      <t>TÉRMINO ENERGÍA (€/kWh)</t>
    </r>
  </si>
  <si>
    <r>
      <t>Plan Fijo Luz</t>
    </r>
    <r>
      <rPr>
        <sz val="10"/>
        <color theme="8" tint="-0.249977111117893"/>
        <rFont val="Calibri"/>
        <family val="2"/>
        <scheme val="minor"/>
      </rPr>
      <t xml:space="preserve"> </t>
    </r>
    <r>
      <rPr>
        <b/>
        <sz val="10"/>
        <color theme="8" tint="-0.249977111117893"/>
        <rFont val="Calibri"/>
        <family val="2"/>
        <scheme val="minor"/>
      </rPr>
      <t xml:space="preserve">ECO
</t>
    </r>
    <r>
      <rPr>
        <sz val="10"/>
        <color theme="8" tint="-0.249977111117893"/>
        <rFont val="Calibri"/>
        <family val="2"/>
        <scheme val="minor"/>
      </rPr>
      <t>TÉRMINO ENERGÍA (€/kWh)</t>
    </r>
  </si>
  <si>
    <r>
      <t>Plan Fijo Luz</t>
    </r>
    <r>
      <rPr>
        <sz val="10"/>
        <color theme="8" tint="-0.249977111117893"/>
        <rFont val="Calibri"/>
        <family val="2"/>
        <scheme val="minor"/>
      </rPr>
      <t xml:space="preserve"> </t>
    </r>
    <r>
      <rPr>
        <b/>
        <sz val="10"/>
        <color theme="8" tint="-0.249977111117893"/>
        <rFont val="Calibri"/>
        <family val="2"/>
        <scheme val="minor"/>
      </rPr>
      <t>ECO</t>
    </r>
    <r>
      <rPr>
        <b/>
        <sz val="10"/>
        <color theme="8" tint="-0.249977111117893"/>
        <rFont val="FS Emeric Core"/>
      </rPr>
      <t xml:space="preserve"> </t>
    </r>
    <r>
      <rPr>
        <b/>
        <sz val="10"/>
        <color theme="8" tint="-0.249977111117893"/>
        <rFont val="Calibri"/>
        <family val="2"/>
        <scheme val="minor"/>
      </rPr>
      <t xml:space="preserve">ONE
</t>
    </r>
    <r>
      <rPr>
        <sz val="10"/>
        <color theme="8" tint="-0.249977111117893"/>
        <rFont val="Calibri"/>
        <family val="2"/>
        <scheme val="minor"/>
      </rPr>
      <t>TÉRMINO ENERGÍA (€/kWh)</t>
    </r>
  </si>
  <si>
    <r>
      <t xml:space="preserve">Plan Fijo Luz </t>
    </r>
    <r>
      <rPr>
        <b/>
        <sz val="10"/>
        <color theme="8" tint="-0.249977111117893"/>
        <rFont val="Calibri"/>
        <family val="2"/>
        <scheme val="minor"/>
      </rPr>
      <t xml:space="preserve"> ECO SUPRA
</t>
    </r>
    <r>
      <rPr>
        <sz val="10"/>
        <color theme="8" tint="-0.249977111117893"/>
        <rFont val="Calibri"/>
        <family val="2"/>
        <scheme val="minor"/>
      </rPr>
      <t>TÉRMINO ENERGÍA (€/kWh)</t>
    </r>
  </si>
  <si>
    <r>
      <t>Plan Variable Luz</t>
    </r>
    <r>
      <rPr>
        <b/>
        <sz val="10"/>
        <color theme="8" tint="-0.249977111117893"/>
        <rFont val="Calibri"/>
        <family val="2"/>
        <scheme val="minor"/>
      </rPr>
      <t xml:space="preserve">
</t>
    </r>
    <r>
      <rPr>
        <sz val="10"/>
        <color theme="8" tint="-0.249977111117893"/>
        <rFont val="Calibri"/>
        <family val="2"/>
        <scheme val="minor"/>
      </rPr>
      <t>TÉRMINO ENERGÍA (€/kWh)</t>
    </r>
  </si>
  <si>
    <r>
      <t>Plan Variable Luz</t>
    </r>
    <r>
      <rPr>
        <b/>
        <sz val="10"/>
        <color theme="8" tint="-0.249977111117893"/>
        <rFont val="FS Emeric Core"/>
      </rPr>
      <t xml:space="preserve"> ONE</t>
    </r>
    <r>
      <rPr>
        <b/>
        <sz val="10"/>
        <color theme="8" tint="-0.249977111117893"/>
        <rFont val="Calibri"/>
        <family val="2"/>
        <scheme val="minor"/>
      </rPr>
      <t xml:space="preserve">
</t>
    </r>
    <r>
      <rPr>
        <sz val="10"/>
        <color theme="8" tint="-0.249977111117893"/>
        <rFont val="Calibri"/>
        <family val="2"/>
        <scheme val="minor"/>
      </rPr>
      <t>TÉRMINO ENERGÍA (€/kWh)</t>
    </r>
  </si>
  <si>
    <r>
      <t>Plan Variable Luz</t>
    </r>
    <r>
      <rPr>
        <b/>
        <sz val="10"/>
        <color theme="8" tint="-0.249977111117893"/>
        <rFont val="FS Emeric Core"/>
      </rPr>
      <t xml:space="preserve"> SUPRA</t>
    </r>
    <r>
      <rPr>
        <b/>
        <sz val="10"/>
        <color theme="8" tint="-0.249977111117893"/>
        <rFont val="Calibri"/>
        <family val="2"/>
        <scheme val="minor"/>
      </rPr>
      <t xml:space="preserve">
</t>
    </r>
    <r>
      <rPr>
        <sz val="10"/>
        <color theme="8" tint="-0.249977111117893"/>
        <rFont val="Calibri"/>
        <family val="2"/>
        <scheme val="minor"/>
      </rPr>
      <t>TÉRMINO ENERGÍA (€/kWh)</t>
    </r>
  </si>
  <si>
    <r>
      <t xml:space="preserve">PLAN VARIABLE GAS </t>
    </r>
    <r>
      <rPr>
        <b/>
        <sz val="10"/>
        <rFont val="FS Emeric ExtraLight"/>
      </rPr>
      <t>SUPRA</t>
    </r>
  </si>
  <si>
    <r>
      <t xml:space="preserve">PLAN VARIABLE GAS </t>
    </r>
    <r>
      <rPr>
        <b/>
        <sz val="10"/>
        <color theme="1"/>
        <rFont val="FS Emeric ExtraLight"/>
      </rPr>
      <t>ONE</t>
    </r>
  </si>
  <si>
    <r>
      <t xml:space="preserve">PLAN COMPROMISO GAS  </t>
    </r>
    <r>
      <rPr>
        <b/>
        <sz val="10"/>
        <color theme="1"/>
        <rFont val="FS Emeric ExtraLight"/>
      </rPr>
      <t>SUPRA</t>
    </r>
  </si>
  <si>
    <t>PYMES</t>
  </si>
  <si>
    <t>PLAN FIJO ONE</t>
  </si>
  <si>
    <t>PLAN FIJO</t>
  </si>
  <si>
    <t>PLAN FIJO SUPRA</t>
  </si>
  <si>
    <t>3.0</t>
  </si>
  <si>
    <t>6.1</t>
  </si>
  <si>
    <t>PLAN FIJO ONE TRIHORARIO</t>
  </si>
  <si>
    <t>PLAN FIJO TRIHORARIO</t>
  </si>
  <si>
    <t>PLAN FIJO SUPRA TRIHORARIO</t>
  </si>
  <si>
    <t>POR USO GAS</t>
  </si>
  <si>
    <t>T. FIJO GAS</t>
  </si>
  <si>
    <t>T. VARIABLE GAS</t>
  </si>
  <si>
    <t>PLAN COMPROMISO GAS SUPRA</t>
  </si>
  <si>
    <t>COMISION</t>
  </si>
  <si>
    <t>SEGÚN TABLA CONSUMO</t>
  </si>
  <si>
    <t>PRODUCTOS</t>
  </si>
  <si>
    <t>TERMINO DE POTENCIA (€/kW año)</t>
  </si>
  <si>
    <t>TERMINO DE ENERGIA (€/kWh)</t>
  </si>
  <si>
    <t>DESCUENTO</t>
  </si>
  <si>
    <t>Precio Excedentes</t>
  </si>
  <si>
    <t>DURACION</t>
  </si>
  <si>
    <t>FACTURA ELECT.</t>
  </si>
  <si>
    <t>ENERGIA VERDE</t>
  </si>
  <si>
    <t>CANAL PRESEN</t>
  </si>
  <si>
    <t>TERMINO DE POTENCIA (€/kW dia)</t>
  </si>
  <si>
    <t>P1</t>
  </si>
  <si>
    <t>P3</t>
  </si>
  <si>
    <t>Punta</t>
  </si>
  <si>
    <t>Valle</t>
  </si>
  <si>
    <t>Llano</t>
  </si>
  <si>
    <t xml:space="preserve">Punta </t>
  </si>
  <si>
    <t>No Prom.</t>
  </si>
  <si>
    <t>Prom.</t>
  </si>
  <si>
    <t>%</t>
  </si>
  <si>
    <t>€/Kwh</t>
  </si>
  <si>
    <t>(Precio/Dto)</t>
  </si>
  <si>
    <t>(Obligat.)</t>
  </si>
  <si>
    <t>(GdO)</t>
  </si>
  <si>
    <t>(S/N)</t>
  </si>
  <si>
    <t>€/kWdía</t>
  </si>
  <si>
    <r>
      <rPr>
        <b/>
        <sz val="20"/>
        <color rgb="FFFFFFFF"/>
        <rFont val="IberPangea"/>
        <family val="2"/>
      </rPr>
      <t xml:space="preserve">ELECTRICIDAD -  2.0TD  </t>
    </r>
    <r>
      <rPr>
        <b/>
        <sz val="16"/>
        <color rgb="FFFFFFFF"/>
        <rFont val="IberPangea"/>
        <family val="2"/>
      </rPr>
      <t xml:space="preserve"> [P1 =&lt; 15kW] Baja Tensión</t>
    </r>
  </si>
  <si>
    <t>2.0TD _ 2     P1 &lt;= 10kW</t>
  </si>
  <si>
    <t>2.0TD_2 Plan Exclusivo 15%TE/TP 1p</t>
  </si>
  <si>
    <t>15% s/Te y Tp (+5% si PIH / PEH+ / UUEEn/ Pack Bienestar)</t>
  </si>
  <si>
    <t>12m</t>
  </si>
  <si>
    <t>N</t>
  </si>
  <si>
    <t>S</t>
  </si>
  <si>
    <t>2.0TD_2 Plan Exclusivo 15%TE/TP 3p</t>
  </si>
  <si>
    <t>2.0TD_2 Plan Especial plus 15%TE 1p</t>
  </si>
  <si>
    <t>15% s/Te (+5% si PIH / PEH+ / UUEEn/ Pack Bienestar)</t>
  </si>
  <si>
    <t>2.0TD_2 Plan Hogar Especial</t>
  </si>
  <si>
    <t>36m / 12m</t>
  </si>
  <si>
    <t>2.0TD_2 Plan Estable</t>
  </si>
  <si>
    <t>60m / 12m</t>
  </si>
  <si>
    <t>2.0TD_2 Planazo</t>
  </si>
  <si>
    <t>15% s/Te (+5% si PIH / PEH+ / UUEEn/ Pack Bienestar) + 100€ en conciertos</t>
  </si>
  <si>
    <t>2.0TD_2 Plan Más Ahorro</t>
  </si>
  <si>
    <t>10% / 15% / 20% /25% / 30% Te (+5% si PIH / PEH+ / UUEEn/ Pack Bienestar)</t>
  </si>
  <si>
    <t>60m / 12m*</t>
  </si>
  <si>
    <t>2.0TD_2 Plan Ahorro Inteligente 8 horas</t>
  </si>
  <si>
    <t>15% s/Te (+5% si PIH / PEH+)</t>
  </si>
  <si>
    <t>60m / 24m</t>
  </si>
  <si>
    <t>2.0TD_2 Plan Ahorro Automático 100</t>
  </si>
  <si>
    <t>100€  (+20€ si PIH / PEH+/ PI / PEH ); 50% dos días de más consumo</t>
  </si>
  <si>
    <t>2.0TD_2 Plan Verano</t>
  </si>
  <si>
    <t>15% s/Tp (+5% si PIH / PEH+ / UUEEn/ Pack Bienestar)</t>
  </si>
  <si>
    <t>2.0TD_2 Plan Estable Comunidades de Propietarios</t>
  </si>
  <si>
    <t>15% s/Te (+5% si ACP) + 5% s/te 2año</t>
  </si>
  <si>
    <t>24m</t>
  </si>
  <si>
    <t>2.0TD_2 Plan Solar</t>
  </si>
  <si>
    <t>s/ dto</t>
  </si>
  <si>
    <t>2.0TD_2 Plan Recarga Inteligente</t>
  </si>
  <si>
    <t>2.0TD_2 Impulsa 24h</t>
  </si>
  <si>
    <t>20% s/Te (+5% si PIH / PEH+ / UUEEn/ Pack Bienestar)</t>
  </si>
  <si>
    <t>2.0TD_2 Plan OMIE</t>
  </si>
  <si>
    <t>s/ dto (únicamente para fidelización)</t>
  </si>
  <si>
    <t>PVPC</t>
  </si>
  <si>
    <t>2.0TD_2 Plan OMIE Comunidades</t>
  </si>
  <si>
    <t>2.0TD _ 3     P1 &gt; 10kW</t>
  </si>
  <si>
    <t>2.0TD_3 Plan Exclusivo 15%TE/TP 1p</t>
  </si>
  <si>
    <t>2.0TD_3 Plan Exclusivo 15%TE/TP 3p</t>
  </si>
  <si>
    <t>2.0TD_3 Plan Especial plus 15%TE 1p</t>
  </si>
  <si>
    <t>2.0TD_3 Plan Hogar Especial</t>
  </si>
  <si>
    <t>2.0TD_3 Plan Estable</t>
  </si>
  <si>
    <t>2.0TD_3 Planazo</t>
  </si>
  <si>
    <t>2.0TD_3 Plan Más Ahorro</t>
  </si>
  <si>
    <t>2.0TD_3 Plan Ahorro Inteligente 8 horas</t>
  </si>
  <si>
    <t>2.0TD_3 Plan Ahorro Automático 100</t>
  </si>
  <si>
    <t>100€  (+20€ si PIH / PEH+/ PI / PEH )</t>
  </si>
  <si>
    <t>2.0TD_3 Plan Verano</t>
  </si>
  <si>
    <t>2.0TD_3 Plan Estable Comunidades de Propietarios</t>
  </si>
  <si>
    <t>2.0TD_3 Plan Solar</t>
  </si>
  <si>
    <t>2.0TD_3 Plan Recarga Inteligente</t>
  </si>
  <si>
    <t>2.0TD_3 Impulsa 24h</t>
  </si>
  <si>
    <t>2.0TD_3 Plan OMIE</t>
  </si>
  <si>
    <t>2.0TD_3 Plan OMIE Comunidades</t>
  </si>
  <si>
    <t>2.0TD Eventual/Temporal (s/IE)</t>
  </si>
  <si>
    <r>
      <rPr>
        <b/>
        <sz val="20"/>
        <color rgb="FFFFFFFF"/>
        <rFont val="IberPangea"/>
        <family val="2"/>
      </rPr>
      <t xml:space="preserve">ELECTRICIDAD -  3.0TD  </t>
    </r>
    <r>
      <rPr>
        <b/>
        <sz val="16"/>
        <color rgb="FFFFFFFF"/>
        <rFont val="IberPangea"/>
        <family val="2"/>
      </rPr>
      <t xml:space="preserve"> [P &gt; 15kW] Baja Tensión</t>
    </r>
  </si>
  <si>
    <t>3.0TD Impulsa 24h</t>
  </si>
  <si>
    <t>20% s/Te (+5% si UUEEn)</t>
  </si>
  <si>
    <t>3.0TD Impulsa 24h+</t>
  </si>
  <si>
    <t>20% s/Te 1º año y 30% s/Te 2º año (+5% si UUEEn)</t>
  </si>
  <si>
    <t>3.0TD Impulsa Zero+</t>
  </si>
  <si>
    <t>20% s/Te 1º año y 10% s/Te 2º año (+5% si UUEEn)</t>
  </si>
  <si>
    <t>3.0TD Impulsa Negocio</t>
  </si>
  <si>
    <t>3.0TD Impulsa Valle</t>
  </si>
  <si>
    <t>3.0TD Impulsa Estable</t>
  </si>
  <si>
    <t>20% s/Te y TP (+5% TE si UUEEn)</t>
  </si>
  <si>
    <t>3.0TD Comunidad Exclusivo</t>
  </si>
  <si>
    <t>20% s/Te (+5% si ACP) + 5% s/te 2año</t>
  </si>
  <si>
    <t>3.0TD Comunidad Impulsa</t>
  </si>
  <si>
    <t>3.0TD Comunidad Optima</t>
  </si>
  <si>
    <t>3.0TD Plan Vehículo Eléctrico</t>
  </si>
  <si>
    <t>3.0TD Plan Regantes</t>
  </si>
  <si>
    <t>3.0TD Plan Exclusivo 15%TE</t>
  </si>
  <si>
    <t>15% s/Te</t>
  </si>
  <si>
    <t>3.0TD Plan Exclusivo 26/30%TE</t>
  </si>
  <si>
    <t>26% ó 30% s/Te</t>
  </si>
  <si>
    <t>3.0TD Empresas 10%TE</t>
  </si>
  <si>
    <t>10% s/Te</t>
  </si>
  <si>
    <t>3.0TD Empresa Plus</t>
  </si>
  <si>
    <t>dto 0,02€/Kwh si consumo &gt;40MWh/a</t>
  </si>
  <si>
    <t>3.0TD Plan Especial 15%TE</t>
  </si>
  <si>
    <t>3.0TD Plan Verde 15%TE</t>
  </si>
  <si>
    <t>3.0TD Plan OMIE 0</t>
  </si>
  <si>
    <t>3.0TD Plan OMIE 1</t>
  </si>
  <si>
    <t>3.0TD Plan OMIE 2</t>
  </si>
  <si>
    <t>3.0TD Plan OMIE 3</t>
  </si>
  <si>
    <t>3.0TD Eventual/Temporal (s/IE)</t>
  </si>
  <si>
    <r>
      <rPr>
        <b/>
        <sz val="20"/>
        <color rgb="FFFFFFFF"/>
        <rFont val="IberPangea"/>
        <family val="2"/>
      </rPr>
      <t xml:space="preserve">ELECTRICIDAD -  6.XTD  </t>
    </r>
    <r>
      <rPr>
        <b/>
        <sz val="16"/>
        <color rgb="FFFFFFFF"/>
        <rFont val="IberPangea"/>
        <family val="2"/>
      </rPr>
      <t xml:space="preserve"> Alta Tensión</t>
    </r>
  </si>
  <si>
    <t>6.1TD Plan Exclusivo 15%TE</t>
  </si>
  <si>
    <t>6.1TD Empresas 10%TE</t>
  </si>
  <si>
    <t>6.1TD Plan Especial 15%TE</t>
  </si>
  <si>
    <t>6.1TD Empresa Plus</t>
  </si>
  <si>
    <t>dto 0,01€/Kwh si consumo &gt;100MWh/a</t>
  </si>
  <si>
    <t>6.1TD Plan Verde 15%TE</t>
  </si>
  <si>
    <t>6.1TD Plan Regantes</t>
  </si>
  <si>
    <t>6.1TD Plan OMIE 0</t>
  </si>
  <si>
    <t>6.1TD Plan OMIE 2</t>
  </si>
  <si>
    <t>6.1TD Eventual/Temporal (s/IE)</t>
  </si>
  <si>
    <t>6.2TD,   6.3TD,   6.4TD</t>
  </si>
  <si>
    <t>6.2TD Plan OMIE 1</t>
  </si>
  <si>
    <t>6.2TD Eventual/Temporal (s/IE)</t>
  </si>
  <si>
    <t>6.3TD Plan OMIE 1</t>
  </si>
  <si>
    <t>6.3TD Eventual/Temporal (s/IE)</t>
  </si>
  <si>
    <t>6.4TD Plan OMIE 1</t>
  </si>
  <si>
    <t>6.4TD Eventual/Temporal (s/IE)</t>
  </si>
  <si>
    <r>
      <rPr>
        <b/>
        <sz val="20"/>
        <color rgb="FFFFFFFF"/>
        <rFont val="IberPangea"/>
        <family val="2"/>
      </rPr>
      <t xml:space="preserve">GAS -  RL1 a RL6  </t>
    </r>
    <r>
      <rPr>
        <b/>
        <sz val="16"/>
        <color rgb="FFFFFFFF"/>
        <rFont val="IberPangea"/>
        <family val="2"/>
      </rPr>
      <t xml:space="preserve"> Baja Presión</t>
    </r>
  </si>
  <si>
    <t>RL1 a RL3</t>
  </si>
  <si>
    <t>RL.1 Exclusivo 10%TF/TV</t>
  </si>
  <si>
    <t>10% Tf/Tv (15% Tf/Tv si PMG)</t>
  </si>
  <si>
    <t>-</t>
  </si>
  <si>
    <t>RL.1 Especial 15%TF/TV</t>
  </si>
  <si>
    <t>15% Tf/Tv (20% Tf/Tv si PMG)</t>
  </si>
  <si>
    <t>RL.2 Exclusivo 10%TF/TV</t>
  </si>
  <si>
    <t>RL.2 Especial 15%TF/TV</t>
  </si>
  <si>
    <t>RL.3 Exclusivo 10%TF/TV</t>
  </si>
  <si>
    <t>RL.3 Especial 15%TF/TV</t>
  </si>
  <si>
    <t>RL4 a RL6</t>
  </si>
  <si>
    <t>RL.4 Indexada</t>
  </si>
  <si>
    <t>RL.5 Indexada</t>
  </si>
  <si>
    <t>RL.6 Indexada</t>
  </si>
  <si>
    <t>Compensacion de Excedentes</t>
  </si>
  <si>
    <t>RESUMEN ELECTRICIDAD  2.0TD _ 2     P1 &lt;= 10kW</t>
  </si>
  <si>
    <t>IBERDROLA</t>
  </si>
  <si>
    <t>PERMANENCIA</t>
  </si>
  <si>
    <t>12M</t>
  </si>
  <si>
    <t>EXCEDENTES</t>
  </si>
  <si>
    <t>BATERIA VIRTUAL</t>
  </si>
  <si>
    <t>SI</t>
  </si>
  <si>
    <t>OBJERVACIONES DESCUENTOS</t>
  </si>
  <si>
    <t>NIBA</t>
  </si>
  <si>
    <t>ZEN</t>
  </si>
  <si>
    <t>TRES</t>
  </si>
  <si>
    <t>COMUNIDADES</t>
  </si>
  <si>
    <t>NEGOCIOS</t>
  </si>
  <si>
    <t>TOTAL ENERGIES</t>
  </si>
  <si>
    <t>A TU AIRE LUZ SIEMPRE 24H</t>
  </si>
  <si>
    <t>A TU AIRE LUZ SIEMPRE PROGRAMA TU AHORRO</t>
  </si>
  <si>
    <t>A TU AIRE GAS PRECIO FIJO</t>
  </si>
  <si>
    <t>A TU AIRE GAS PRECIO FIJO CON LUZ (DUAL)</t>
  </si>
  <si>
    <t>SI CONTRATA LUZ Y GAS</t>
  </si>
  <si>
    <t>ENDESA</t>
  </si>
  <si>
    <t>LIBRE (CON PERMANENCIA)</t>
  </si>
  <si>
    <t>LIBRE (SIN PERMANENCIA)</t>
  </si>
  <si>
    <t>GAS ENDESA</t>
  </si>
  <si>
    <t>1P PLUS (Periodo Único)</t>
  </si>
  <si>
    <t>SUPER (N1)</t>
  </si>
  <si>
    <t>ESTANDAR (N2)</t>
  </si>
  <si>
    <t>EXTRA (N3)</t>
  </si>
  <si>
    <t>Peninsula</t>
  </si>
  <si>
    <r>
      <rPr>
        <sz val="11"/>
        <color rgb="FFFF5D64"/>
        <rFont val="Arial"/>
        <family val="2"/>
      </rPr>
      <t xml:space="preserve">Precio Término de Energía (€/kWh)                                                                                   Precio Término de potencia (€/kWaño) </t>
    </r>
    <r>
      <rPr>
        <sz val="11"/>
        <rFont val="Arial"/>
        <family val="2"/>
      </rPr>
      <t>Consumos 0-3.000.000 kWh/año</t>
    </r>
  </si>
  <si>
    <t>Tarifa</t>
  </si>
  <si>
    <t>POTENCIAS</t>
  </si>
  <si>
    <t xml:space="preserve">  Precio Término de potencia (€/kWaño) Consumos 0-50.000 kWh/año</t>
  </si>
  <si>
    <t>ESTABLE</t>
  </si>
  <si>
    <t>Baleares</t>
  </si>
  <si>
    <t>Canarias</t>
  </si>
  <si>
    <t xml:space="preserve">  Precio Término de potencia (€/kWaño) Consumos 0-3.000.000 kWh/año</t>
  </si>
  <si>
    <t xml:space="preserve">  Precio Término de potencia (€/kWdía) Consumos 0-3.000.000 kWh/año</t>
  </si>
  <si>
    <t xml:space="preserve">  Precio Término de potencia (€/kWmes) Consumos 0-3.000.000 kWh/año</t>
  </si>
  <si>
    <t>ESTABLE PLUS</t>
  </si>
  <si>
    <t>AXPO</t>
  </si>
  <si>
    <t>1P PLUS (Periodo Único) N1</t>
  </si>
  <si>
    <t>1P PLUS (Periodo Único) N2</t>
  </si>
  <si>
    <t>1P PLUS (Periodo Único) N3</t>
  </si>
  <si>
    <t>ESTABLE N1</t>
  </si>
  <si>
    <t>ESTABLE N2</t>
  </si>
  <si>
    <t>ESTABLE 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</si>
</sst>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00000\ &quot; €/kWh&quot;"/>
    <numFmt numFmtId="165" formatCode="0.000000\ &quot;€/kW*día&quot;"/>
    <numFmt numFmtId="166" formatCode="0.000000"/>
    <numFmt numFmtId="167" formatCode="0.0000"/>
    <numFmt numFmtId="168" formatCode="#,##0.000000_ ;\-#,##0.000000\ "/>
    <numFmt numFmtId="169" formatCode="_-* #,##0.000\ _€_-;\-* #,##0.000\ _€_-;_-* &quot;-&quot;??\ _€_-;_-@_-"/>
    <numFmt numFmtId="170" formatCode="0.00000"/>
    <numFmt numFmtId="171" formatCode="&quot;€&quot;#,##0.00_);[Red]\(&quot;€&quot;#,##0.00\)"/>
    <numFmt numFmtId="172" formatCode="#,##0.00\ &quot;€&quot;"/>
    <numFmt numFmtId="173" formatCode="#,##0.00\ &quot;€&quot;&quot;/día&quot;;[Red]\-#,##0.00\ &quot;€&quot;&quot;/día&quot;"/>
    <numFmt numFmtId="174" formatCode="#,##0.0000\ &quot;€&quot;&quot;/día&quot;;[Red]\-#,##0.0000\ &quot;€&quot;&quot;/día&quot;"/>
    <numFmt numFmtId="175" formatCode="#,#00\ &quot;TD&quot;"/>
    <numFmt numFmtId="176" formatCode="0.000000\ &quot;€/día&quot;"/>
    <numFmt numFmtId="177" formatCode="#,##0.000000"/>
    <numFmt numFmtId="178" formatCode="#,##0.00000"/>
    <numFmt numFmtId="179" formatCode="#,##0.0"/>
    <numFmt numFmtId="180" formatCode="0.000"/>
    <numFmt numFmtId="181" formatCode="0.0"/>
    <numFmt numFmtId="182" formatCode="0.00\ &quot;€/Kw&quot;"/>
    <numFmt numFmtId="183" formatCode="_-* #,##0.000000_-;\-* #,##0.000000_-;_-* &quot;-&quot;??_-;_-@_-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FS Emeric ExtraLight"/>
    </font>
    <font>
      <sz val="10"/>
      <color theme="8" tint="-0.249977111117893"/>
      <name val="FS Emeric ExtraLight"/>
    </font>
    <font>
      <b/>
      <sz val="10"/>
      <color theme="0"/>
      <name val="FS Emeric ExtraLight"/>
    </font>
    <font>
      <b/>
      <sz val="10"/>
      <color rgb="FF002060"/>
      <name val="FS Emeric ExtraLight"/>
    </font>
    <font>
      <sz val="10"/>
      <color theme="8" tint="-0.249977111117893"/>
      <name val="FS Emeric Core"/>
    </font>
    <font>
      <b/>
      <sz val="10"/>
      <color theme="8" tint="-0.249977111117893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b/>
      <sz val="10"/>
      <color theme="9" tint="0.79998168889431442"/>
      <name val="FS Emeric Book"/>
    </font>
    <font>
      <sz val="10"/>
      <color rgb="FF002060"/>
      <name val="FS Emeric ExtraLight"/>
    </font>
    <font>
      <sz val="10"/>
      <color rgb="FF002060"/>
      <name val="Calibri Light"/>
      <family val="2"/>
    </font>
    <font>
      <sz val="10"/>
      <color rgb="FFFF0000"/>
      <name val="FS Emeric ExtraLight"/>
    </font>
    <font>
      <sz val="10"/>
      <color theme="0"/>
      <name val="Calibri Light"/>
      <family val="2"/>
    </font>
    <font>
      <sz val="10"/>
      <color theme="8" tint="-0.249977111117893"/>
      <name val="Calibri Light"/>
      <family val="2"/>
    </font>
    <font>
      <sz val="10"/>
      <color theme="5" tint="-0.499984740745262"/>
      <name val="FS Emeric ExtraLight"/>
    </font>
    <font>
      <b/>
      <sz val="10"/>
      <color theme="8" tint="-0.249977111117893"/>
      <name val="FS Emeric ExtraLight"/>
    </font>
    <font>
      <b/>
      <sz val="10"/>
      <color theme="8" tint="-0.249977111117893"/>
      <name val="FS Emeric Core"/>
    </font>
    <font>
      <b/>
      <sz val="10"/>
      <color theme="9" tint="0.79998168889431442"/>
      <name val="Calibri Light"/>
      <family val="2"/>
    </font>
    <font>
      <b/>
      <strike/>
      <sz val="10"/>
      <color theme="0"/>
      <name val="FS Emeric ExtraLight"/>
    </font>
    <font>
      <strike/>
      <sz val="10"/>
      <color rgb="FF002060"/>
      <name val="FS Emeric ExtraLight"/>
    </font>
    <font>
      <b/>
      <sz val="10"/>
      <name val="FS Emeric ExtraLight"/>
    </font>
    <font>
      <b/>
      <sz val="10"/>
      <color theme="1"/>
      <name val="FS Emeric ExtraLight"/>
    </font>
    <font>
      <b/>
      <sz val="10"/>
      <color theme="1" tint="0.249977111117893"/>
      <name val="Calibri Light"/>
      <family val="2"/>
    </font>
    <font>
      <b/>
      <sz val="10"/>
      <color theme="8" tint="-0.249977111117893"/>
      <name val="Calibri Light"/>
      <family val="2"/>
    </font>
    <font>
      <strike/>
      <sz val="10"/>
      <color theme="0"/>
      <name val="FS Emeric ExtraLight"/>
    </font>
    <font>
      <b/>
      <sz val="10"/>
      <color theme="0" tint="-0.14999847407452621"/>
      <name val="FS Emeric ExtraLight"/>
    </font>
    <font>
      <b/>
      <sz val="10"/>
      <color theme="1" tint="0.249977111117893"/>
      <name val="FS Emeric ExtraLight"/>
    </font>
    <font>
      <sz val="10"/>
      <color theme="0"/>
      <name val="FS Emeric Core"/>
    </font>
    <font>
      <b/>
      <sz val="10"/>
      <color theme="6" tint="0.59999389629810485"/>
      <name val="FS Emeric ExtraLight"/>
    </font>
    <font>
      <sz val="10"/>
      <color theme="5" tint="-0.499984740745262"/>
      <name val="FS Emeric Book"/>
    </font>
    <font>
      <sz val="10"/>
      <color theme="1"/>
      <name val="Arial"/>
      <family val="2"/>
    </font>
    <font>
      <sz val="10"/>
      <name val="IberPangea"/>
      <family val="2"/>
    </font>
    <font>
      <b/>
      <sz val="12"/>
      <name val="IberPangea"/>
      <family val="2"/>
    </font>
    <font>
      <b/>
      <sz val="10"/>
      <name val="IberPangea"/>
      <family val="2"/>
    </font>
    <font>
      <b/>
      <sz val="8"/>
      <name val="IberPangea"/>
      <family val="2"/>
    </font>
    <font>
      <sz val="10"/>
      <color theme="0"/>
      <name val="IberPangea"/>
      <family val="2"/>
    </font>
    <font>
      <b/>
      <sz val="16"/>
      <color rgb="FFFFFFFF"/>
      <name val="IberPangea"/>
      <family val="2"/>
    </font>
    <font>
      <b/>
      <sz val="20"/>
      <color rgb="FFFFFFFF"/>
      <name val="IberPangea"/>
      <family val="2"/>
    </font>
    <font>
      <b/>
      <sz val="12"/>
      <color rgb="FFFFFFFF"/>
      <name val="IberPangea"/>
      <family val="2"/>
    </font>
    <font>
      <sz val="10"/>
      <color theme="1"/>
      <name val="IberPangea"/>
      <family val="2"/>
    </font>
    <font>
      <sz val="10"/>
      <color theme="4"/>
      <name val="IberPangea"/>
      <family val="2"/>
    </font>
    <font>
      <sz val="10"/>
      <color rgb="FF00B050"/>
      <name val="IberPangea"/>
      <family val="2"/>
    </font>
    <font>
      <sz val="10"/>
      <color rgb="FF00A443"/>
      <name val="IberPangea"/>
      <family val="2"/>
    </font>
    <font>
      <sz val="10"/>
      <color theme="6"/>
      <name val="IberPangea"/>
      <family val="2"/>
    </font>
    <font>
      <sz val="8"/>
      <color theme="1"/>
      <name val="IberPangea"/>
      <family val="2"/>
    </font>
    <font>
      <b/>
      <sz val="10"/>
      <color rgb="FFFFFFFF"/>
      <name val="IberPangea"/>
      <family val="2"/>
    </font>
    <font>
      <b/>
      <sz val="8"/>
      <color rgb="FFFFFFFF"/>
      <name val="IberPangea"/>
      <family val="2"/>
    </font>
    <font>
      <sz val="10"/>
      <color rgb="FFFFFFFF"/>
      <name val="IberPangea"/>
      <family val="2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FF5D64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0.79998168889431442"/>
        <bgColor theme="8" tint="0.79998168889431442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theme="8" tint="0.79998168889431442"/>
      </patternFill>
    </fill>
    <fill>
      <patternFill patternType="solid">
        <fgColor theme="3" tint="0.79998168889431442"/>
        <bgColor theme="8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theme="9" tint="0.39994506668294322"/>
      </patternFill>
    </fill>
    <fill>
      <patternFill patternType="solid">
        <fgColor rgb="FFFFFFFF"/>
        <bgColor theme="9" tint="0.79998168889431442"/>
      </patternFill>
    </fill>
    <fill>
      <patternFill patternType="solid">
        <fgColor rgb="FFE7FFF1"/>
        <bgColor theme="9" tint="0.39994506668294322"/>
      </patternFill>
    </fill>
    <fill>
      <patternFill patternType="solid">
        <fgColor rgb="FFE7FFF1"/>
        <bgColor indexed="64"/>
      </patternFill>
    </fill>
    <fill>
      <patternFill patternType="solid">
        <fgColor rgb="FFE7FFF1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EFF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FF9FF"/>
        <bgColor theme="9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theme="2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23">
    <border>
      <left/>
      <right/>
      <top/>
      <bottom/>
      <diagonal/>
    </border>
    <border>
      <left/>
      <right/>
      <top/>
      <bottom style="thin">
        <color theme="8" tint="-0.249977111117893"/>
      </bottom>
      <diagonal/>
    </border>
    <border>
      <left/>
      <right/>
      <top style="thin">
        <color theme="8" tint="-0.249977111117893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FFFFFF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rgb="FFFFFF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 style="medium">
        <color rgb="FFFFFFFF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33" fillId="0" borderId="0"/>
    <xf numFmtId="43" fontId="33" fillId="0" borderId="0" applyFont="0" applyFill="0" applyBorder="0" applyAlignment="0" applyProtection="0"/>
  </cellStyleXfs>
  <cellXfs count="370">
    <xf numFmtId="0" fontId="0" fillId="0" borderId="0" xfId="0"/>
    <xf numFmtId="0" fontId="3" fillId="0" borderId="0" xfId="0" applyFont="1" applyAlignment="1">
      <alignment horizontal="center"/>
    </xf>
    <xf numFmtId="9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4" applyFont="1"/>
    <xf numFmtId="0" fontId="5" fillId="2" borderId="0" xfId="4" applyFont="1" applyFill="1" applyAlignment="1">
      <alignment horizontal="center"/>
    </xf>
    <xf numFmtId="0" fontId="5" fillId="2" borderId="0" xfId="4" applyFont="1" applyFill="1"/>
    <xf numFmtId="0" fontId="5" fillId="0" borderId="0" xfId="4" applyFont="1"/>
    <xf numFmtId="14" fontId="5" fillId="0" borderId="0" xfId="4" applyNumberFormat="1" applyFont="1" applyAlignment="1">
      <alignment horizontal="left"/>
    </xf>
    <xf numFmtId="0" fontId="5" fillId="0" borderId="0" xfId="4" applyFont="1" applyAlignment="1">
      <alignment horizontal="center"/>
    </xf>
    <xf numFmtId="0" fontId="6" fillId="0" borderId="0" xfId="4" applyFont="1" applyAlignment="1">
      <alignment vertical="center" textRotation="90" wrapText="1"/>
    </xf>
    <xf numFmtId="0" fontId="5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 wrapText="1"/>
    </xf>
    <xf numFmtId="0" fontId="12" fillId="6" borderId="0" xfId="0" applyFont="1" applyFill="1" applyAlignment="1">
      <alignment horizontal="center" vertical="center" wrapText="1"/>
    </xf>
    <xf numFmtId="166" fontId="12" fillId="6" borderId="0" xfId="0" applyNumberFormat="1" applyFont="1" applyFill="1" applyAlignment="1">
      <alignment horizontal="center" vertical="center" wrapText="1"/>
    </xf>
    <xf numFmtId="166" fontId="12" fillId="7" borderId="0" xfId="0" applyNumberFormat="1" applyFont="1" applyFill="1" applyAlignment="1">
      <alignment horizontal="center" vertical="center" wrapText="1"/>
    </xf>
    <xf numFmtId="0" fontId="11" fillId="5" borderId="0" xfId="4" applyFont="1" applyFill="1" applyAlignment="1">
      <alignment horizontal="center" vertical="center" wrapText="1"/>
    </xf>
    <xf numFmtId="166" fontId="13" fillId="7" borderId="0" xfId="0" applyNumberFormat="1" applyFont="1" applyFill="1" applyAlignment="1">
      <alignment horizontal="center" vertical="center" wrapText="1"/>
    </xf>
    <xf numFmtId="166" fontId="14" fillId="0" borderId="0" xfId="4" applyNumberFormat="1" applyFont="1"/>
    <xf numFmtId="166" fontId="5" fillId="0" borderId="0" xfId="4" applyNumberFormat="1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166" fontId="12" fillId="8" borderId="0" xfId="0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15" fillId="2" borderId="0" xfId="4" applyFont="1" applyFill="1" applyAlignment="1">
      <alignment horizontal="center" vertical="center"/>
    </xf>
    <xf numFmtId="166" fontId="16" fillId="0" borderId="0" xfId="4" applyNumberFormat="1" applyFont="1"/>
    <xf numFmtId="0" fontId="16" fillId="0" borderId="0" xfId="4" applyFont="1"/>
    <xf numFmtId="0" fontId="12" fillId="0" borderId="0" xfId="4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 wrapText="1"/>
    </xf>
    <xf numFmtId="166" fontId="17" fillId="0" borderId="0" xfId="0" applyNumberFormat="1" applyFont="1" applyAlignment="1">
      <alignment horizontal="right" vertical="center"/>
    </xf>
    <xf numFmtId="0" fontId="18" fillId="0" borderId="0" xfId="4" applyFont="1" applyAlignment="1">
      <alignment vertical="center"/>
    </xf>
    <xf numFmtId="1" fontId="4" fillId="0" borderId="0" xfId="4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5" fillId="0" borderId="0" xfId="4" applyNumberFormat="1" applyFont="1" applyAlignment="1">
      <alignment horizontal="center" vertical="center"/>
    </xf>
    <xf numFmtId="0" fontId="6" fillId="4" borderId="0" xfId="0" applyFont="1" applyFill="1" applyAlignment="1">
      <alignment vertical="center" wrapText="1"/>
    </xf>
    <xf numFmtId="166" fontId="5" fillId="0" borderId="0" xfId="4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3" fillId="6" borderId="0" xfId="0" applyFont="1" applyFill="1" applyAlignment="1">
      <alignment horizontal="center" vertical="center" wrapText="1"/>
    </xf>
    <xf numFmtId="0" fontId="20" fillId="5" borderId="0" xfId="4" applyFont="1" applyFill="1" applyAlignment="1">
      <alignment horizontal="center" vertical="center" wrapText="1"/>
    </xf>
    <xf numFmtId="0" fontId="4" fillId="0" borderId="0" xfId="4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5" fillId="0" borderId="0" xfId="4" applyFont="1" applyAlignment="1">
      <alignment vertical="center"/>
    </xf>
    <xf numFmtId="0" fontId="18" fillId="0" borderId="0" xfId="4" applyFont="1" applyAlignment="1">
      <alignment vertical="center" wrapText="1"/>
    </xf>
    <xf numFmtId="0" fontId="5" fillId="0" borderId="0" xfId="4" applyFont="1" applyAlignment="1">
      <alignment horizontal="center" vertical="center"/>
    </xf>
    <xf numFmtId="0" fontId="12" fillId="2" borderId="0" xfId="4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left" vertical="center" wrapText="1"/>
    </xf>
    <xf numFmtId="0" fontId="22" fillId="6" borderId="0" xfId="0" applyFont="1" applyFill="1" applyAlignment="1">
      <alignment horizontal="center" vertical="center" wrapText="1"/>
    </xf>
    <xf numFmtId="166" fontId="22" fillId="6" borderId="0" xfId="0" applyNumberFormat="1" applyFont="1" applyFill="1" applyAlignment="1">
      <alignment horizontal="center" vertical="center" wrapText="1"/>
    </xf>
    <xf numFmtId="166" fontId="22" fillId="7" borderId="0" xfId="0" applyNumberFormat="1" applyFont="1" applyFill="1" applyAlignment="1">
      <alignment horizontal="center" vertical="center" wrapText="1"/>
    </xf>
    <xf numFmtId="166" fontId="18" fillId="0" borderId="0" xfId="4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166" fontId="22" fillId="0" borderId="0" xfId="0" applyNumberFormat="1" applyFont="1" applyAlignment="1">
      <alignment horizontal="center" vertical="center" wrapText="1"/>
    </xf>
    <xf numFmtId="166" fontId="22" fillId="0" borderId="0" xfId="0" applyNumberFormat="1" applyFont="1" applyAlignment="1">
      <alignment horizontal="center" vertical="center"/>
    </xf>
    <xf numFmtId="0" fontId="6" fillId="2" borderId="0" xfId="4" applyFont="1" applyFill="1" applyAlignment="1">
      <alignment horizontal="center" vertical="center"/>
    </xf>
    <xf numFmtId="0" fontId="16" fillId="0" borderId="0" xfId="4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16" fillId="0" borderId="0" xfId="4" applyFont="1" applyAlignment="1">
      <alignment horizontal="center" vertical="center"/>
    </xf>
    <xf numFmtId="0" fontId="15" fillId="0" borderId="6" xfId="4" applyFont="1" applyBorder="1"/>
    <xf numFmtId="0" fontId="16" fillId="0" borderId="6" xfId="4" applyFont="1" applyBorder="1" applyAlignment="1">
      <alignment vertical="center"/>
    </xf>
    <xf numFmtId="0" fontId="8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7" fillId="0" borderId="0" xfId="4" applyFont="1" applyAlignment="1">
      <alignment horizontal="center" vertical="center"/>
    </xf>
    <xf numFmtId="166" fontId="13" fillId="12" borderId="0" xfId="0" applyNumberFormat="1" applyFont="1" applyFill="1" applyAlignment="1">
      <alignment horizontal="center" vertical="center" wrapText="1"/>
    </xf>
    <xf numFmtId="167" fontId="13" fillId="12" borderId="0" xfId="0" applyNumberFormat="1" applyFont="1" applyFill="1" applyAlignment="1">
      <alignment horizontal="left" vertical="center" wrapText="1"/>
    </xf>
    <xf numFmtId="3" fontId="12" fillId="12" borderId="0" xfId="0" applyNumberFormat="1" applyFont="1" applyFill="1" applyAlignment="1">
      <alignment horizontal="center" vertical="center" wrapText="1"/>
    </xf>
    <xf numFmtId="168" fontId="12" fillId="12" borderId="0" xfId="2" applyNumberFormat="1" applyFont="1" applyFill="1" applyBorder="1" applyAlignment="1" applyProtection="1">
      <alignment horizontal="center" vertical="center"/>
    </xf>
    <xf numFmtId="168" fontId="12" fillId="13" borderId="4" xfId="0" applyNumberFormat="1" applyFont="1" applyFill="1" applyBorder="1" applyAlignment="1">
      <alignment horizontal="center" vertical="center" wrapText="1"/>
    </xf>
    <xf numFmtId="166" fontId="12" fillId="13" borderId="4" xfId="0" applyNumberFormat="1" applyFont="1" applyFill="1" applyBorder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167" fontId="13" fillId="0" borderId="0" xfId="0" applyNumberFormat="1" applyFont="1" applyAlignment="1">
      <alignment horizontal="left" vertical="center"/>
    </xf>
    <xf numFmtId="3" fontId="12" fillId="0" borderId="0" xfId="0" applyNumberFormat="1" applyFont="1" applyAlignment="1">
      <alignment horizontal="center" vertical="center"/>
    </xf>
    <xf numFmtId="168" fontId="12" fillId="0" borderId="0" xfId="2" applyNumberFormat="1" applyFont="1" applyFill="1" applyBorder="1" applyAlignment="1" applyProtection="1">
      <alignment horizontal="center" vertical="center"/>
    </xf>
    <xf numFmtId="166" fontId="12" fillId="0" borderId="6" xfId="0" applyNumberFormat="1" applyFont="1" applyBorder="1" applyAlignment="1">
      <alignment horizontal="center" vertical="center" wrapText="1"/>
    </xf>
    <xf numFmtId="166" fontId="12" fillId="13" borderId="6" xfId="0" applyNumberFormat="1" applyFont="1" applyFill="1" applyBorder="1" applyAlignment="1">
      <alignment horizontal="center" vertical="center" wrapText="1"/>
    </xf>
    <xf numFmtId="166" fontId="12" fillId="13" borderId="8" xfId="0" applyNumberFormat="1" applyFont="1" applyFill="1" applyBorder="1" applyAlignment="1">
      <alignment horizontal="center" vertical="center" wrapText="1"/>
    </xf>
    <xf numFmtId="0" fontId="12" fillId="0" borderId="0" xfId="4" applyFont="1" applyAlignment="1">
      <alignment horizontal="center"/>
    </xf>
    <xf numFmtId="167" fontId="12" fillId="0" borderId="0" xfId="0" applyNumberFormat="1" applyFont="1" applyAlignment="1">
      <alignment horizontal="left" vertical="center"/>
    </xf>
    <xf numFmtId="169" fontId="12" fillId="0" borderId="0" xfId="2" applyNumberFormat="1" applyFont="1" applyFill="1" applyBorder="1" applyAlignment="1" applyProtection="1">
      <alignment horizontal="center" vertical="center"/>
    </xf>
    <xf numFmtId="166" fontId="12" fillId="0" borderId="0" xfId="0" applyNumberFormat="1" applyFont="1" applyAlignment="1">
      <alignment horizontal="left" vertical="center" wrapText="1"/>
    </xf>
    <xf numFmtId="167" fontId="5" fillId="0" borderId="0" xfId="4" applyNumberFormat="1" applyFont="1"/>
    <xf numFmtId="170" fontId="5" fillId="0" borderId="0" xfId="4" applyNumberFormat="1" applyFont="1"/>
    <xf numFmtId="0" fontId="4" fillId="2" borderId="0" xfId="4" applyFont="1" applyFill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166" fontId="12" fillId="12" borderId="0" xfId="0" applyNumberFormat="1" applyFont="1" applyFill="1" applyAlignment="1">
      <alignment horizontal="center" vertical="center" wrapText="1"/>
    </xf>
    <xf numFmtId="167" fontId="12" fillId="12" borderId="0" xfId="0" applyNumberFormat="1" applyFont="1" applyFill="1" applyAlignment="1">
      <alignment horizontal="left" vertical="center" wrapText="1"/>
    </xf>
    <xf numFmtId="168" fontId="12" fillId="12" borderId="0" xfId="2" applyNumberFormat="1" applyFont="1" applyFill="1" applyAlignment="1" applyProtection="1">
      <alignment horizontal="center" vertical="center"/>
    </xf>
    <xf numFmtId="166" fontId="4" fillId="8" borderId="0" xfId="0" applyNumberFormat="1" applyFont="1" applyFill="1" applyAlignment="1">
      <alignment horizontal="center" vertical="center" wrapText="1"/>
    </xf>
    <xf numFmtId="168" fontId="12" fillId="8" borderId="0" xfId="2" applyNumberFormat="1" applyFont="1" applyFill="1" applyAlignment="1" applyProtection="1">
      <alignment horizontal="center" vertical="center"/>
    </xf>
    <xf numFmtId="166" fontId="4" fillId="2" borderId="0" xfId="0" applyNumberFormat="1" applyFont="1" applyFill="1" applyAlignment="1">
      <alignment horizontal="center" vertical="center" wrapText="1"/>
    </xf>
    <xf numFmtId="14" fontId="18" fillId="0" borderId="0" xfId="0" applyNumberFormat="1" applyFont="1" applyAlignment="1">
      <alignment horizontal="left"/>
    </xf>
    <xf numFmtId="0" fontId="5" fillId="0" borderId="0" xfId="4" applyFont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right" vertical="center" wrapText="1"/>
    </xf>
    <xf numFmtId="9" fontId="18" fillId="0" borderId="0" xfId="0" applyNumberFormat="1" applyFont="1" applyAlignment="1">
      <alignment horizontal="left" vertical="center" wrapText="1"/>
    </xf>
    <xf numFmtId="0" fontId="32" fillId="0" borderId="0" xfId="0" applyFont="1" applyAlignment="1">
      <alignment vertical="center"/>
    </xf>
    <xf numFmtId="0" fontId="19" fillId="16" borderId="0" xfId="0" applyFont="1" applyFill="1" applyAlignment="1">
      <alignment vertical="center"/>
    </xf>
    <xf numFmtId="0" fontId="8" fillId="0" borderId="0" xfId="4" applyFont="1" applyAlignment="1">
      <alignment vertical="center"/>
    </xf>
    <xf numFmtId="171" fontId="19" fillId="0" borderId="0" xfId="0" applyNumberFormat="1" applyFont="1" applyAlignment="1">
      <alignment horizontal="left" vertical="center"/>
    </xf>
    <xf numFmtId="9" fontId="18" fillId="0" borderId="0" xfId="4" applyNumberFormat="1" applyFont="1" applyAlignment="1">
      <alignment horizontal="right" vertical="center" wrapText="1"/>
    </xf>
    <xf numFmtId="9" fontId="18" fillId="0" borderId="0" xfId="4" applyNumberFormat="1" applyFont="1" applyAlignment="1">
      <alignment horizontal="left" vertical="center" wrapText="1"/>
    </xf>
    <xf numFmtId="172" fontId="18" fillId="0" borderId="0" xfId="4" applyNumberFormat="1" applyFont="1" applyAlignment="1">
      <alignment horizontal="left" vertical="center"/>
    </xf>
    <xf numFmtId="173" fontId="19" fillId="0" borderId="0" xfId="0" applyNumberFormat="1" applyFont="1" applyAlignment="1">
      <alignment horizontal="left" vertical="center"/>
    </xf>
    <xf numFmtId="174" fontId="19" fillId="0" borderId="0" xfId="0" applyNumberFormat="1" applyFont="1" applyAlignment="1">
      <alignment horizontal="left" vertical="center"/>
    </xf>
    <xf numFmtId="0" fontId="18" fillId="16" borderId="0" xfId="0" applyFont="1" applyFill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8" fillId="0" borderId="0" xfId="4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6" fontId="5" fillId="0" borderId="0" xfId="0" applyNumberFormat="1" applyFont="1" applyAlignment="1">
      <alignment vertical="center"/>
    </xf>
    <xf numFmtId="0" fontId="6" fillId="0" borderId="0" xfId="4" applyFont="1" applyAlignment="1">
      <alignment horizontal="center" vertical="center" textRotation="90" wrapText="1"/>
    </xf>
    <xf numFmtId="17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>
      <alignment horizontal="center"/>
    </xf>
    <xf numFmtId="44" fontId="3" fillId="0" borderId="0" xfId="3" applyFont="1" applyAlignment="1">
      <alignment horizontal="center"/>
    </xf>
    <xf numFmtId="0" fontId="34" fillId="0" borderId="0" xfId="5" applyFont="1"/>
    <xf numFmtId="177" fontId="34" fillId="0" borderId="0" xfId="5" applyNumberFormat="1" applyFont="1" applyAlignment="1">
      <alignment horizontal="center" vertical="center"/>
    </xf>
    <xf numFmtId="0" fontId="34" fillId="0" borderId="0" xfId="5" applyFont="1" applyAlignment="1">
      <alignment horizontal="center" vertical="center"/>
    </xf>
    <xf numFmtId="43" fontId="34" fillId="0" borderId="0" xfId="6" applyFont="1" applyAlignment="1">
      <alignment horizontal="center" vertical="center"/>
    </xf>
    <xf numFmtId="0" fontId="34" fillId="0" borderId="0" xfId="5" applyFont="1" applyAlignment="1">
      <alignment horizontal="center"/>
    </xf>
    <xf numFmtId="0" fontId="34" fillId="16" borderId="0" xfId="5" applyFont="1" applyFill="1" applyAlignment="1">
      <alignment horizontal="center"/>
    </xf>
    <xf numFmtId="0" fontId="35" fillId="17" borderId="0" xfId="5" applyFont="1" applyFill="1" applyAlignment="1">
      <alignment horizontal="center" vertical="center" wrapText="1"/>
    </xf>
    <xf numFmtId="0" fontId="36" fillId="17" borderId="0" xfId="5" applyFont="1" applyFill="1" applyAlignment="1">
      <alignment horizontal="center" vertical="center" wrapText="1"/>
    </xf>
    <xf numFmtId="0" fontId="34" fillId="16" borderId="0" xfId="5" applyFont="1" applyFill="1"/>
    <xf numFmtId="177" fontId="37" fillId="17" borderId="0" xfId="5" applyNumberFormat="1" applyFont="1" applyFill="1" applyAlignment="1">
      <alignment horizontal="center" vertical="center"/>
    </xf>
    <xf numFmtId="0" fontId="37" fillId="17" borderId="0" xfId="5" applyFont="1" applyFill="1" applyAlignment="1">
      <alignment horizontal="center" vertical="center"/>
    </xf>
    <xf numFmtId="0" fontId="37" fillId="17" borderId="0" xfId="5" applyFont="1" applyFill="1" applyAlignment="1">
      <alignment horizontal="center" vertical="top" wrapText="1"/>
    </xf>
    <xf numFmtId="0" fontId="34" fillId="16" borderId="0" xfId="5" applyFont="1" applyFill="1" applyAlignment="1">
      <alignment horizontal="center" vertical="center" wrapText="1"/>
    </xf>
    <xf numFmtId="177" fontId="38" fillId="16" borderId="0" xfId="5" applyNumberFormat="1" applyFont="1" applyFill="1" applyAlignment="1">
      <alignment horizontal="center" vertical="center" wrapText="1"/>
    </xf>
    <xf numFmtId="0" fontId="38" fillId="16" borderId="0" xfId="5" applyFont="1" applyFill="1" applyAlignment="1">
      <alignment horizontal="center" vertical="center" wrapText="1"/>
    </xf>
    <xf numFmtId="0" fontId="34" fillId="16" borderId="0" xfId="5" applyFont="1" applyFill="1" applyAlignment="1">
      <alignment horizontal="center" vertical="center"/>
    </xf>
    <xf numFmtId="43" fontId="34" fillId="16" borderId="0" xfId="6" applyFont="1" applyFill="1" applyBorder="1" applyAlignment="1">
      <alignment horizontal="center" vertical="center"/>
    </xf>
    <xf numFmtId="177" fontId="34" fillId="16" borderId="0" xfId="5" applyNumberFormat="1" applyFont="1" applyFill="1" applyAlignment="1">
      <alignment horizontal="center" vertical="center" wrapText="1"/>
    </xf>
    <xf numFmtId="178" fontId="34" fillId="16" borderId="0" xfId="5" applyNumberFormat="1" applyFont="1" applyFill="1" applyAlignment="1">
      <alignment horizontal="center" vertical="center" wrapText="1"/>
    </xf>
    <xf numFmtId="179" fontId="34" fillId="16" borderId="0" xfId="5" applyNumberFormat="1" applyFont="1" applyFill="1" applyAlignment="1">
      <alignment horizontal="center" vertical="center" wrapText="1"/>
    </xf>
    <xf numFmtId="0" fontId="42" fillId="16" borderId="0" xfId="5" applyFont="1" applyFill="1"/>
    <xf numFmtId="0" fontId="42" fillId="19" borderId="11" xfId="5" applyFont="1" applyFill="1" applyBorder="1" applyAlignment="1">
      <alignment horizontal="left" vertical="center" indent="1"/>
    </xf>
    <xf numFmtId="177" fontId="42" fillId="19" borderId="11" xfId="5" applyNumberFormat="1" applyFont="1" applyFill="1" applyBorder="1" applyAlignment="1">
      <alignment horizontal="center" vertical="center"/>
    </xf>
    <xf numFmtId="166" fontId="42" fillId="19" borderId="11" xfId="5" applyNumberFormat="1" applyFont="1" applyFill="1" applyBorder="1" applyAlignment="1">
      <alignment horizontal="center" vertical="center"/>
    </xf>
    <xf numFmtId="166" fontId="42" fillId="19" borderId="11" xfId="5" applyNumberFormat="1" applyFont="1" applyFill="1" applyBorder="1" applyAlignment="1">
      <alignment horizontal="left" vertical="center" indent="1"/>
    </xf>
    <xf numFmtId="166" fontId="34" fillId="16" borderId="12" xfId="5" applyNumberFormat="1" applyFont="1" applyFill="1" applyBorder="1" applyAlignment="1">
      <alignment horizontal="center" vertical="center"/>
    </xf>
    <xf numFmtId="166" fontId="42" fillId="19" borderId="11" xfId="5" applyNumberFormat="1" applyFont="1" applyFill="1" applyBorder="1" applyAlignment="1">
      <alignment vertical="center"/>
    </xf>
    <xf numFmtId="0" fontId="42" fillId="19" borderId="11" xfId="5" applyFont="1" applyFill="1" applyBorder="1" applyAlignment="1">
      <alignment horizontal="center" vertical="center"/>
    </xf>
    <xf numFmtId="43" fontId="42" fillId="19" borderId="11" xfId="6" applyFont="1" applyFill="1" applyBorder="1" applyAlignment="1">
      <alignment horizontal="center" vertical="center"/>
    </xf>
    <xf numFmtId="166" fontId="43" fillId="16" borderId="12" xfId="5" applyNumberFormat="1" applyFont="1" applyFill="1" applyBorder="1" applyAlignment="1">
      <alignment horizontal="center" vertical="center"/>
    </xf>
    <xf numFmtId="177" fontId="43" fillId="19" borderId="11" xfId="5" applyNumberFormat="1" applyFont="1" applyFill="1" applyBorder="1" applyAlignment="1">
      <alignment horizontal="center" vertical="center"/>
    </xf>
    <xf numFmtId="166" fontId="43" fillId="19" borderId="11" xfId="5" applyNumberFormat="1" applyFont="1" applyFill="1" applyBorder="1" applyAlignment="1">
      <alignment horizontal="center" vertical="center"/>
    </xf>
    <xf numFmtId="177" fontId="42" fillId="19" borderId="11" xfId="5" applyNumberFormat="1" applyFont="1" applyFill="1" applyBorder="1" applyAlignment="1">
      <alignment horizontal="left" vertical="center" indent="1"/>
    </xf>
    <xf numFmtId="166" fontId="34" fillId="20" borderId="12" xfId="5" applyNumberFormat="1" applyFont="1" applyFill="1" applyBorder="1" applyAlignment="1">
      <alignment horizontal="center" vertical="center"/>
    </xf>
    <xf numFmtId="166" fontId="42" fillId="16" borderId="11" xfId="5" applyNumberFormat="1" applyFont="1" applyFill="1" applyBorder="1" applyAlignment="1">
      <alignment horizontal="center" vertical="center"/>
    </xf>
    <xf numFmtId="0" fontId="42" fillId="0" borderId="0" xfId="5" applyFont="1"/>
    <xf numFmtId="166" fontId="43" fillId="20" borderId="12" xfId="5" applyNumberFormat="1" applyFont="1" applyFill="1" applyBorder="1" applyAlignment="1">
      <alignment horizontal="center" vertical="center"/>
    </xf>
    <xf numFmtId="177" fontId="34" fillId="19" borderId="11" xfId="5" applyNumberFormat="1" applyFont="1" applyFill="1" applyBorder="1" applyAlignment="1">
      <alignment horizontal="center" vertical="center"/>
    </xf>
    <xf numFmtId="166" fontId="34" fillId="19" borderId="11" xfId="5" applyNumberFormat="1" applyFont="1" applyFill="1" applyBorder="1" applyAlignment="1">
      <alignment horizontal="center" vertical="center"/>
    </xf>
    <xf numFmtId="166" fontId="42" fillId="20" borderId="11" xfId="5" applyNumberFormat="1" applyFont="1" applyFill="1" applyBorder="1" applyAlignment="1">
      <alignment horizontal="center" vertical="center"/>
    </xf>
    <xf numFmtId="0" fontId="42" fillId="21" borderId="11" xfId="5" applyFont="1" applyFill="1" applyBorder="1" applyAlignment="1">
      <alignment horizontal="left" vertical="center" indent="1"/>
    </xf>
    <xf numFmtId="177" fontId="43" fillId="21" borderId="11" xfId="5" applyNumberFormat="1" applyFont="1" applyFill="1" applyBorder="1" applyAlignment="1">
      <alignment horizontal="center" vertical="center"/>
    </xf>
    <xf numFmtId="166" fontId="43" fillId="21" borderId="11" xfId="5" applyNumberFormat="1" applyFont="1" applyFill="1" applyBorder="1" applyAlignment="1">
      <alignment horizontal="center" vertical="center"/>
    </xf>
    <xf numFmtId="166" fontId="42" fillId="21" borderId="11" xfId="5" applyNumberFormat="1" applyFont="1" applyFill="1" applyBorder="1" applyAlignment="1">
      <alignment horizontal="left" vertical="center" indent="1"/>
    </xf>
    <xf numFmtId="166" fontId="34" fillId="22" borderId="12" xfId="5" applyNumberFormat="1" applyFont="1" applyFill="1" applyBorder="1" applyAlignment="1">
      <alignment horizontal="center" vertical="center"/>
    </xf>
    <xf numFmtId="166" fontId="42" fillId="21" borderId="11" xfId="5" applyNumberFormat="1" applyFont="1" applyFill="1" applyBorder="1" applyAlignment="1">
      <alignment vertical="center"/>
    </xf>
    <xf numFmtId="0" fontId="42" fillId="21" borderId="11" xfId="5" applyFont="1" applyFill="1" applyBorder="1" applyAlignment="1">
      <alignment horizontal="center" vertical="center"/>
    </xf>
    <xf numFmtId="43" fontId="42" fillId="21" borderId="11" xfId="6" applyFont="1" applyFill="1" applyBorder="1" applyAlignment="1">
      <alignment horizontal="center" vertical="center"/>
    </xf>
    <xf numFmtId="166" fontId="43" fillId="22" borderId="12" xfId="5" applyNumberFormat="1" applyFont="1" applyFill="1" applyBorder="1" applyAlignment="1">
      <alignment horizontal="center" vertical="center"/>
    </xf>
    <xf numFmtId="177" fontId="44" fillId="21" borderId="11" xfId="5" applyNumberFormat="1" applyFont="1" applyFill="1" applyBorder="1" applyAlignment="1">
      <alignment horizontal="center" vertical="center"/>
    </xf>
    <xf numFmtId="0" fontId="44" fillId="21" borderId="11" xfId="5" applyFont="1" applyFill="1" applyBorder="1" applyAlignment="1">
      <alignment horizontal="left" vertical="center" indent="1"/>
    </xf>
    <xf numFmtId="166" fontId="44" fillId="21" borderId="11" xfId="5" applyNumberFormat="1" applyFont="1" applyFill="1" applyBorder="1" applyAlignment="1">
      <alignment horizontal="left" vertical="center" indent="1"/>
    </xf>
    <xf numFmtId="166" fontId="42" fillId="22" borderId="12" xfId="5" applyNumberFormat="1" applyFont="1" applyFill="1" applyBorder="1" applyAlignment="1">
      <alignment horizontal="center" vertical="center"/>
    </xf>
    <xf numFmtId="2" fontId="42" fillId="21" borderId="11" xfId="5" applyNumberFormat="1" applyFont="1" applyFill="1" applyBorder="1" applyAlignment="1">
      <alignment vertical="center"/>
    </xf>
    <xf numFmtId="166" fontId="45" fillId="22" borderId="12" xfId="5" applyNumberFormat="1" applyFont="1" applyFill="1" applyBorder="1" applyAlignment="1">
      <alignment horizontal="center" vertical="center"/>
    </xf>
    <xf numFmtId="166" fontId="42" fillId="21" borderId="11" xfId="5" applyNumberFormat="1" applyFont="1" applyFill="1" applyBorder="1" applyAlignment="1">
      <alignment horizontal="center" vertical="center"/>
    </xf>
    <xf numFmtId="170" fontId="42" fillId="21" borderId="11" xfId="5" applyNumberFormat="1" applyFont="1" applyFill="1" applyBorder="1" applyAlignment="1">
      <alignment vertical="center"/>
    </xf>
    <xf numFmtId="177" fontId="42" fillId="21" borderId="11" xfId="5" applyNumberFormat="1" applyFont="1" applyFill="1" applyBorder="1" applyAlignment="1">
      <alignment horizontal="left" vertical="center" indent="1"/>
    </xf>
    <xf numFmtId="166" fontId="42" fillId="22" borderId="11" xfId="5" applyNumberFormat="1" applyFont="1" applyFill="1" applyBorder="1" applyAlignment="1">
      <alignment horizontal="center" vertical="center"/>
    </xf>
    <xf numFmtId="166" fontId="42" fillId="22" borderId="11" xfId="5" applyNumberFormat="1" applyFont="1" applyFill="1" applyBorder="1" applyAlignment="1">
      <alignment vertical="center"/>
    </xf>
    <xf numFmtId="166" fontId="42" fillId="21" borderId="12" xfId="5" applyNumberFormat="1" applyFont="1" applyFill="1" applyBorder="1" applyAlignment="1">
      <alignment horizontal="center" vertical="center"/>
    </xf>
    <xf numFmtId="166" fontId="45" fillId="22" borderId="11" xfId="5" applyNumberFormat="1" applyFont="1" applyFill="1" applyBorder="1" applyAlignment="1">
      <alignment horizontal="center" vertical="center"/>
    </xf>
    <xf numFmtId="166" fontId="43" fillId="21" borderId="12" xfId="5" applyNumberFormat="1" applyFont="1" applyFill="1" applyBorder="1" applyAlignment="1">
      <alignment horizontal="center" vertical="center"/>
    </xf>
    <xf numFmtId="0" fontId="42" fillId="16" borderId="11" xfId="5" applyFont="1" applyFill="1" applyBorder="1" applyAlignment="1">
      <alignment horizontal="left" vertical="center" indent="1"/>
    </xf>
    <xf numFmtId="177" fontId="34" fillId="16" borderId="11" xfId="5" applyNumberFormat="1" applyFont="1" applyFill="1" applyBorder="1" applyAlignment="1">
      <alignment horizontal="center" vertical="center"/>
    </xf>
    <xf numFmtId="166" fontId="34" fillId="16" borderId="11" xfId="5" applyNumberFormat="1" applyFont="1" applyFill="1" applyBorder="1" applyAlignment="1">
      <alignment horizontal="center" vertical="center"/>
    </xf>
    <xf numFmtId="0" fontId="42" fillId="16" borderId="11" xfId="5" applyFont="1" applyFill="1" applyBorder="1" applyAlignment="1">
      <alignment horizontal="center" vertical="center"/>
    </xf>
    <xf numFmtId="43" fontId="42" fillId="16" borderId="11" xfId="6" applyFont="1" applyFill="1" applyBorder="1" applyAlignment="1">
      <alignment horizontal="center" vertical="center"/>
    </xf>
    <xf numFmtId="177" fontId="42" fillId="16" borderId="11" xfId="5" applyNumberFormat="1" applyFont="1" applyFill="1" applyBorder="1" applyAlignment="1">
      <alignment horizontal="center" vertical="center"/>
    </xf>
    <xf numFmtId="166" fontId="42" fillId="16" borderId="12" xfId="5" applyNumberFormat="1" applyFont="1" applyFill="1" applyBorder="1" applyAlignment="1">
      <alignment horizontal="center" vertical="center"/>
    </xf>
    <xf numFmtId="0" fontId="42" fillId="20" borderId="14" xfId="5" applyFont="1" applyFill="1" applyBorder="1" applyAlignment="1">
      <alignment horizontal="left" vertical="center" indent="1"/>
    </xf>
    <xf numFmtId="177" fontId="43" fillId="20" borderId="11" xfId="5" applyNumberFormat="1" applyFont="1" applyFill="1" applyBorder="1" applyAlignment="1">
      <alignment horizontal="center" vertical="center"/>
    </xf>
    <xf numFmtId="166" fontId="43" fillId="20" borderId="11" xfId="5" applyNumberFormat="1" applyFont="1" applyFill="1" applyBorder="1" applyAlignment="1">
      <alignment horizontal="center" vertical="center"/>
    </xf>
    <xf numFmtId="166" fontId="42" fillId="20" borderId="14" xfId="5" applyNumberFormat="1" applyFont="1" applyFill="1" applyBorder="1" applyAlignment="1">
      <alignment vertical="center"/>
    </xf>
    <xf numFmtId="0" fontId="42" fillId="20" borderId="14" xfId="5" applyFont="1" applyFill="1" applyBorder="1" applyAlignment="1">
      <alignment horizontal="center" vertical="center"/>
    </xf>
    <xf numFmtId="43" fontId="42" fillId="20" borderId="14" xfId="6" applyFont="1" applyFill="1" applyBorder="1" applyAlignment="1">
      <alignment horizontal="center" vertical="center"/>
    </xf>
    <xf numFmtId="166" fontId="43" fillId="20" borderId="15" xfId="5" applyNumberFormat="1" applyFont="1" applyFill="1" applyBorder="1" applyAlignment="1">
      <alignment horizontal="center" vertical="center"/>
    </xf>
    <xf numFmtId="0" fontId="42" fillId="20" borderId="11" xfId="5" applyFont="1" applyFill="1" applyBorder="1" applyAlignment="1">
      <alignment horizontal="left" vertical="center" indent="1"/>
    </xf>
    <xf numFmtId="166" fontId="42" fillId="20" borderId="11" xfId="5" applyNumberFormat="1" applyFont="1" applyFill="1" applyBorder="1" applyAlignment="1">
      <alignment vertical="center"/>
    </xf>
    <xf numFmtId="0" fontId="42" fillId="20" borderId="11" xfId="5" applyFont="1" applyFill="1" applyBorder="1" applyAlignment="1">
      <alignment horizontal="center" vertical="center"/>
    </xf>
    <xf numFmtId="43" fontId="42" fillId="20" borderId="11" xfId="6" applyFont="1" applyFill="1" applyBorder="1" applyAlignment="1">
      <alignment horizontal="center" vertical="center"/>
    </xf>
    <xf numFmtId="166" fontId="43" fillId="20" borderId="16" xfId="5" applyNumberFormat="1" applyFont="1" applyFill="1" applyBorder="1" applyAlignment="1">
      <alignment horizontal="center" vertical="center"/>
    </xf>
    <xf numFmtId="166" fontId="43" fillId="19" borderId="12" xfId="5" applyNumberFormat="1" applyFont="1" applyFill="1" applyBorder="1" applyAlignment="1">
      <alignment horizontal="center" vertical="center"/>
    </xf>
    <xf numFmtId="166" fontId="43" fillId="19" borderId="16" xfId="5" applyNumberFormat="1" applyFont="1" applyFill="1" applyBorder="1" applyAlignment="1">
      <alignment horizontal="center" vertical="center"/>
    </xf>
    <xf numFmtId="166" fontId="43" fillId="19" borderId="11" xfId="5" applyNumberFormat="1" applyFont="1" applyFill="1" applyBorder="1" applyAlignment="1">
      <alignment vertical="center"/>
    </xf>
    <xf numFmtId="166" fontId="42" fillId="23" borderId="11" xfId="5" applyNumberFormat="1" applyFont="1" applyFill="1" applyBorder="1" applyAlignment="1">
      <alignment horizontal="center" vertical="center"/>
    </xf>
    <xf numFmtId="177" fontId="44" fillId="21" borderId="12" xfId="5" applyNumberFormat="1" applyFont="1" applyFill="1" applyBorder="1" applyAlignment="1">
      <alignment horizontal="center" vertical="center"/>
    </xf>
    <xf numFmtId="177" fontId="43" fillId="21" borderId="16" xfId="5" applyNumberFormat="1" applyFont="1" applyFill="1" applyBorder="1" applyAlignment="1">
      <alignment horizontal="center" vertical="center"/>
    </xf>
    <xf numFmtId="166" fontId="42" fillId="21" borderId="7" xfId="5" applyNumberFormat="1" applyFont="1" applyFill="1" applyBorder="1" applyAlignment="1">
      <alignment vertical="center"/>
    </xf>
    <xf numFmtId="166" fontId="45" fillId="21" borderId="12" xfId="5" applyNumberFormat="1" applyFont="1" applyFill="1" applyBorder="1" applyAlignment="1">
      <alignment horizontal="center" vertical="center"/>
    </xf>
    <xf numFmtId="166" fontId="45" fillId="21" borderId="11" xfId="5" applyNumberFormat="1" applyFont="1" applyFill="1" applyBorder="1" applyAlignment="1">
      <alignment horizontal="center" vertical="center"/>
    </xf>
    <xf numFmtId="166" fontId="43" fillId="21" borderId="16" xfId="5" applyNumberFormat="1" applyFont="1" applyFill="1" applyBorder="1" applyAlignment="1">
      <alignment horizontal="center" vertical="center"/>
    </xf>
    <xf numFmtId="177" fontId="44" fillId="16" borderId="11" xfId="5" applyNumberFormat="1" applyFont="1" applyFill="1" applyBorder="1" applyAlignment="1">
      <alignment horizontal="center" vertical="center"/>
    </xf>
    <xf numFmtId="166" fontId="44" fillId="16" borderId="11" xfId="5" applyNumberFormat="1" applyFont="1" applyFill="1" applyBorder="1" applyAlignment="1">
      <alignment horizontal="center" vertical="center"/>
    </xf>
    <xf numFmtId="166" fontId="45" fillId="16" borderId="12" xfId="5" applyNumberFormat="1" applyFont="1" applyFill="1" applyBorder="1" applyAlignment="1">
      <alignment horizontal="center" vertical="center"/>
    </xf>
    <xf numFmtId="166" fontId="43" fillId="16" borderId="16" xfId="5" applyNumberFormat="1" applyFont="1" applyFill="1" applyBorder="1" applyAlignment="1">
      <alignment horizontal="center" vertical="center"/>
    </xf>
    <xf numFmtId="166" fontId="43" fillId="16" borderId="11" xfId="5" applyNumberFormat="1" applyFont="1" applyFill="1" applyBorder="1" applyAlignment="1">
      <alignment horizontal="center" vertical="center"/>
    </xf>
    <xf numFmtId="177" fontId="45" fillId="16" borderId="11" xfId="5" applyNumberFormat="1" applyFont="1" applyFill="1" applyBorder="1" applyAlignment="1">
      <alignment horizontal="center" vertical="center"/>
    </xf>
    <xf numFmtId="180" fontId="42" fillId="16" borderId="12" xfId="5" applyNumberFormat="1" applyFont="1" applyFill="1" applyBorder="1" applyAlignment="1">
      <alignment horizontal="center" vertical="center"/>
    </xf>
    <xf numFmtId="180" fontId="43" fillId="16" borderId="16" xfId="5" applyNumberFormat="1" applyFont="1" applyFill="1" applyBorder="1" applyAlignment="1">
      <alignment horizontal="center" vertical="center"/>
    </xf>
    <xf numFmtId="0" fontId="42" fillId="2" borderId="11" xfId="5" applyFont="1" applyFill="1" applyBorder="1" applyAlignment="1">
      <alignment horizontal="left" vertical="center" indent="1"/>
    </xf>
    <xf numFmtId="177" fontId="42" fillId="2" borderId="11" xfId="5" applyNumberFormat="1" applyFont="1" applyFill="1" applyBorder="1" applyAlignment="1">
      <alignment horizontal="center" vertical="center"/>
    </xf>
    <xf numFmtId="166" fontId="42" fillId="2" borderId="11" xfId="5" applyNumberFormat="1" applyFont="1" applyFill="1" applyBorder="1" applyAlignment="1">
      <alignment horizontal="center" vertical="center"/>
    </xf>
    <xf numFmtId="166" fontId="42" fillId="24" borderId="11" xfId="5" applyNumberFormat="1" applyFont="1" applyFill="1" applyBorder="1" applyAlignment="1">
      <alignment horizontal="center" vertical="center"/>
    </xf>
    <xf numFmtId="166" fontId="43" fillId="2" borderId="12" xfId="5" applyNumberFormat="1" applyFont="1" applyFill="1" applyBorder="1" applyAlignment="1">
      <alignment horizontal="center" vertical="center"/>
    </xf>
    <xf numFmtId="166" fontId="43" fillId="2" borderId="11" xfId="5" applyNumberFormat="1" applyFont="1" applyFill="1" applyBorder="1" applyAlignment="1">
      <alignment horizontal="center" vertical="center"/>
    </xf>
    <xf numFmtId="166" fontId="42" fillId="2" borderId="11" xfId="5" applyNumberFormat="1" applyFont="1" applyFill="1" applyBorder="1" applyAlignment="1">
      <alignment vertical="center"/>
    </xf>
    <xf numFmtId="0" fontId="42" fillId="2" borderId="11" xfId="5" applyFont="1" applyFill="1" applyBorder="1" applyAlignment="1">
      <alignment horizontal="center" vertical="center"/>
    </xf>
    <xf numFmtId="43" fontId="42" fillId="2" borderId="11" xfId="6" applyFont="1" applyFill="1" applyBorder="1" applyAlignment="1">
      <alignment horizontal="center" vertical="center"/>
    </xf>
    <xf numFmtId="166" fontId="43" fillId="2" borderId="16" xfId="5" applyNumberFormat="1" applyFont="1" applyFill="1" applyBorder="1" applyAlignment="1">
      <alignment horizontal="center" vertical="center"/>
    </xf>
    <xf numFmtId="166" fontId="42" fillId="16" borderId="0" xfId="5" applyNumberFormat="1" applyFont="1" applyFill="1" applyAlignment="1">
      <alignment horizontal="center" vertical="center" wrapText="1"/>
    </xf>
    <xf numFmtId="0" fontId="42" fillId="16" borderId="0" xfId="5" applyFont="1" applyFill="1" applyAlignment="1">
      <alignment horizontal="center" vertical="center"/>
    </xf>
    <xf numFmtId="43" fontId="42" fillId="16" borderId="0" xfId="6" applyFont="1" applyFill="1" applyAlignment="1">
      <alignment horizontal="center" vertical="center"/>
    </xf>
    <xf numFmtId="0" fontId="42" fillId="16" borderId="0" xfId="5" applyFont="1" applyFill="1" applyAlignment="1">
      <alignment horizontal="center"/>
    </xf>
    <xf numFmtId="0" fontId="42" fillId="0" borderId="0" xfId="5" applyFont="1" applyAlignment="1">
      <alignment horizontal="center"/>
    </xf>
    <xf numFmtId="0" fontId="42" fillId="26" borderId="11" xfId="5" applyFont="1" applyFill="1" applyBorder="1" applyAlignment="1">
      <alignment horizontal="left" vertical="center" indent="1"/>
    </xf>
    <xf numFmtId="4" fontId="42" fillId="26" borderId="11" xfId="5" applyNumberFormat="1" applyFont="1" applyFill="1" applyBorder="1" applyAlignment="1">
      <alignment horizontal="center" vertical="center"/>
    </xf>
    <xf numFmtId="180" fontId="42" fillId="26" borderId="12" xfId="5" applyNumberFormat="1" applyFont="1" applyFill="1" applyBorder="1" applyAlignment="1">
      <alignment horizontal="center" vertical="center"/>
    </xf>
    <xf numFmtId="180" fontId="42" fillId="26" borderId="11" xfId="5" applyNumberFormat="1" applyFont="1" applyFill="1" applyBorder="1" applyAlignment="1">
      <alignment horizontal="center" vertical="center"/>
    </xf>
    <xf numFmtId="0" fontId="42" fillId="26" borderId="11" xfId="5" applyFont="1" applyFill="1" applyBorder="1" applyAlignment="1">
      <alignment horizontal="center" vertical="center"/>
    </xf>
    <xf numFmtId="43" fontId="42" fillId="26" borderId="11" xfId="6" applyFont="1" applyFill="1" applyBorder="1" applyAlignment="1">
      <alignment horizontal="center" vertical="center"/>
    </xf>
    <xf numFmtId="166" fontId="42" fillId="16" borderId="0" xfId="5" applyNumberFormat="1" applyFont="1" applyFill="1" applyAlignment="1">
      <alignment horizontal="center"/>
    </xf>
    <xf numFmtId="0" fontId="42" fillId="27" borderId="11" xfId="5" applyFont="1" applyFill="1" applyBorder="1" applyAlignment="1">
      <alignment horizontal="left" vertical="center" indent="1"/>
    </xf>
    <xf numFmtId="4" fontId="34" fillId="27" borderId="11" xfId="5" applyNumberFormat="1" applyFont="1" applyFill="1" applyBorder="1" applyAlignment="1">
      <alignment horizontal="center" vertical="center"/>
    </xf>
    <xf numFmtId="180" fontId="34" fillId="27" borderId="12" xfId="5" applyNumberFormat="1" applyFont="1" applyFill="1" applyBorder="1" applyAlignment="1">
      <alignment horizontal="center" vertical="center"/>
    </xf>
    <xf numFmtId="180" fontId="34" fillId="27" borderId="11" xfId="5" applyNumberFormat="1" applyFont="1" applyFill="1" applyBorder="1" applyAlignment="1">
      <alignment horizontal="center" vertical="center"/>
    </xf>
    <xf numFmtId="180" fontId="42" fillId="27" borderId="11" xfId="5" applyNumberFormat="1" applyFont="1" applyFill="1" applyBorder="1" applyAlignment="1">
      <alignment horizontal="center" vertical="center"/>
    </xf>
    <xf numFmtId="0" fontId="42" fillId="27" borderId="11" xfId="5" applyFont="1" applyFill="1" applyBorder="1" applyAlignment="1">
      <alignment horizontal="center" vertical="center"/>
    </xf>
    <xf numFmtId="43" fontId="42" fillId="27" borderId="11" xfId="6" applyFont="1" applyFill="1" applyBorder="1" applyAlignment="1">
      <alignment horizontal="center" vertical="center"/>
    </xf>
    <xf numFmtId="177" fontId="34" fillId="26" borderId="11" xfId="5" applyNumberFormat="1" applyFont="1" applyFill="1" applyBorder="1" applyAlignment="1">
      <alignment horizontal="center" vertical="center"/>
    </xf>
    <xf numFmtId="180" fontId="46" fillId="26" borderId="11" xfId="5" applyNumberFormat="1" applyFont="1" applyFill="1" applyBorder="1" applyAlignment="1">
      <alignment horizontal="center" vertical="center"/>
    </xf>
    <xf numFmtId="180" fontId="42" fillId="28" borderId="11" xfId="5" applyNumberFormat="1" applyFont="1" applyFill="1" applyBorder="1" applyAlignment="1">
      <alignment horizontal="center" vertical="center"/>
    </xf>
    <xf numFmtId="177" fontId="42" fillId="26" borderId="11" xfId="5" applyNumberFormat="1" applyFont="1" applyFill="1" applyBorder="1" applyAlignment="1">
      <alignment horizontal="center" vertical="center"/>
    </xf>
    <xf numFmtId="180" fontId="42" fillId="16" borderId="11" xfId="5" applyNumberFormat="1" applyFont="1" applyFill="1" applyBorder="1" applyAlignment="1">
      <alignment horizontal="center" vertical="center"/>
    </xf>
    <xf numFmtId="170" fontId="42" fillId="2" borderId="11" xfId="5" applyNumberFormat="1" applyFont="1" applyFill="1" applyBorder="1" applyAlignment="1">
      <alignment horizontal="center" vertical="center"/>
    </xf>
    <xf numFmtId="170" fontId="42" fillId="24" borderId="11" xfId="5" applyNumberFormat="1" applyFont="1" applyFill="1" applyBorder="1" applyAlignment="1">
      <alignment horizontal="center" vertical="center"/>
    </xf>
    <xf numFmtId="166" fontId="42" fillId="2" borderId="12" xfId="5" applyNumberFormat="1" applyFont="1" applyFill="1" applyBorder="1" applyAlignment="1">
      <alignment horizontal="center" vertical="center"/>
    </xf>
    <xf numFmtId="0" fontId="42" fillId="16" borderId="0" xfId="5" applyFont="1" applyFill="1" applyAlignment="1">
      <alignment horizontal="center" vertical="center" wrapText="1"/>
    </xf>
    <xf numFmtId="3" fontId="42" fillId="16" borderId="0" xfId="5" applyNumberFormat="1" applyFont="1" applyFill="1" applyAlignment="1">
      <alignment horizontal="center" vertical="center" wrapText="1"/>
    </xf>
    <xf numFmtId="177" fontId="42" fillId="16" borderId="0" xfId="5" applyNumberFormat="1" applyFont="1" applyFill="1" applyAlignment="1">
      <alignment horizontal="center" vertical="center" wrapText="1"/>
    </xf>
    <xf numFmtId="43" fontId="42" fillId="16" borderId="0" xfId="6" applyFont="1" applyFill="1" applyBorder="1" applyAlignment="1">
      <alignment horizontal="center" vertical="center"/>
    </xf>
    <xf numFmtId="0" fontId="42" fillId="16" borderId="14" xfId="5" applyFont="1" applyFill="1" applyBorder="1" applyAlignment="1">
      <alignment horizontal="left" vertical="center" indent="1"/>
    </xf>
    <xf numFmtId="166" fontId="42" fillId="16" borderId="14" xfId="5" applyNumberFormat="1" applyFont="1" applyFill="1" applyBorder="1" applyAlignment="1">
      <alignment horizontal="center" vertical="center"/>
    </xf>
    <xf numFmtId="166" fontId="42" fillId="16" borderId="18" xfId="5" applyNumberFormat="1" applyFont="1" applyFill="1" applyBorder="1" applyAlignment="1">
      <alignment horizontal="center" vertical="center"/>
    </xf>
    <xf numFmtId="0" fontId="42" fillId="16" borderId="14" xfId="5" applyFont="1" applyFill="1" applyBorder="1" applyAlignment="1">
      <alignment horizontal="center" vertical="center"/>
    </xf>
    <xf numFmtId="43" fontId="42" fillId="16" borderId="14" xfId="6" applyFont="1" applyFill="1" applyBorder="1" applyAlignment="1">
      <alignment horizontal="center" vertical="center"/>
    </xf>
    <xf numFmtId="2" fontId="42" fillId="31" borderId="11" xfId="5" applyNumberFormat="1" applyFont="1" applyFill="1" applyBorder="1" applyAlignment="1">
      <alignment horizontal="center" vertical="center"/>
    </xf>
    <xf numFmtId="166" fontId="42" fillId="31" borderId="11" xfId="5" applyNumberFormat="1" applyFont="1" applyFill="1" applyBorder="1" applyAlignment="1">
      <alignment horizontal="center" vertical="center"/>
    </xf>
    <xf numFmtId="2" fontId="45" fillId="31" borderId="11" xfId="5" applyNumberFormat="1" applyFont="1" applyFill="1" applyBorder="1" applyAlignment="1">
      <alignment horizontal="center" vertical="center"/>
    </xf>
    <xf numFmtId="166" fontId="45" fillId="31" borderId="12" xfId="5" applyNumberFormat="1" applyFont="1" applyFill="1" applyBorder="1" applyAlignment="1">
      <alignment horizontal="center" vertical="center"/>
    </xf>
    <xf numFmtId="1" fontId="42" fillId="31" borderId="11" xfId="5" applyNumberFormat="1" applyFont="1" applyFill="1" applyBorder="1" applyAlignment="1">
      <alignment horizontal="center" vertical="center"/>
    </xf>
    <xf numFmtId="0" fontId="42" fillId="31" borderId="11" xfId="5" applyFont="1" applyFill="1" applyBorder="1" applyAlignment="1">
      <alignment horizontal="center" vertical="center"/>
    </xf>
    <xf numFmtId="43" fontId="42" fillId="31" borderId="11" xfId="6" applyFont="1" applyFill="1" applyBorder="1" applyAlignment="1">
      <alignment horizontal="center" vertical="center"/>
    </xf>
    <xf numFmtId="4" fontId="42" fillId="16" borderId="11" xfId="5" applyNumberFormat="1" applyFont="1" applyFill="1" applyBorder="1" applyAlignment="1">
      <alignment horizontal="center" vertical="center"/>
    </xf>
    <xf numFmtId="2" fontId="42" fillId="16" borderId="11" xfId="5" applyNumberFormat="1" applyFont="1" applyFill="1" applyBorder="1" applyAlignment="1">
      <alignment horizontal="center" vertical="center"/>
    </xf>
    <xf numFmtId="0" fontId="42" fillId="31" borderId="11" xfId="5" applyFont="1" applyFill="1" applyBorder="1" applyAlignment="1">
      <alignment horizontal="left" vertical="center" indent="1"/>
    </xf>
    <xf numFmtId="4" fontId="42" fillId="31" borderId="11" xfId="5" applyNumberFormat="1" applyFont="1" applyFill="1" applyBorder="1" applyAlignment="1">
      <alignment horizontal="center" vertical="center"/>
    </xf>
    <xf numFmtId="166" fontId="42" fillId="31" borderId="12" xfId="5" applyNumberFormat="1" applyFont="1" applyFill="1" applyBorder="1" applyAlignment="1">
      <alignment horizontal="center" vertical="center"/>
    </xf>
    <xf numFmtId="181" fontId="42" fillId="16" borderId="11" xfId="5" applyNumberFormat="1" applyFont="1" applyFill="1" applyBorder="1" applyAlignment="1">
      <alignment horizontal="center" vertical="center"/>
    </xf>
    <xf numFmtId="0" fontId="47" fillId="16" borderId="0" xfId="5" applyFont="1" applyFill="1" applyAlignment="1">
      <alignment horizontal="center" vertical="center"/>
    </xf>
    <xf numFmtId="177" fontId="47" fillId="16" borderId="0" xfId="5" applyNumberFormat="1" applyFont="1" applyFill="1" applyAlignment="1">
      <alignment horizontal="center" vertical="center"/>
    </xf>
    <xf numFmtId="0" fontId="48" fillId="32" borderId="12" xfId="5" applyFont="1" applyFill="1" applyBorder="1" applyAlignment="1">
      <alignment horizontal="left" vertical="center" indent="1"/>
    </xf>
    <xf numFmtId="2" fontId="48" fillId="32" borderId="11" xfId="5" applyNumberFormat="1" applyFont="1" applyFill="1" applyBorder="1" applyAlignment="1">
      <alignment horizontal="center" vertical="center"/>
    </xf>
    <xf numFmtId="0" fontId="49" fillId="32" borderId="11" xfId="5" applyFont="1" applyFill="1" applyBorder="1" applyAlignment="1">
      <alignment horizontal="center" vertical="center"/>
    </xf>
    <xf numFmtId="0" fontId="50" fillId="0" borderId="0" xfId="5" applyFont="1" applyAlignment="1">
      <alignment horizontal="center"/>
    </xf>
    <xf numFmtId="166" fontId="50" fillId="0" borderId="0" xfId="5" applyNumberFormat="1" applyFont="1" applyAlignment="1">
      <alignment horizontal="center"/>
    </xf>
    <xf numFmtId="0" fontId="50" fillId="0" borderId="0" xfId="5" applyFont="1"/>
    <xf numFmtId="177" fontId="50" fillId="0" borderId="0" xfId="5" applyNumberFormat="1" applyFont="1" applyAlignment="1">
      <alignment horizontal="center" vertical="center"/>
    </xf>
    <xf numFmtId="0" fontId="50" fillId="0" borderId="0" xfId="5" applyFont="1" applyAlignment="1">
      <alignment horizontal="center" vertical="center"/>
    </xf>
    <xf numFmtId="43" fontId="50" fillId="0" borderId="0" xfId="6" applyFont="1" applyFill="1" applyAlignment="1">
      <alignment horizontal="center" vertical="center"/>
    </xf>
    <xf numFmtId="43" fontId="3" fillId="0" borderId="0" xfId="2" applyFont="1" applyAlignment="1">
      <alignment horizontal="center"/>
    </xf>
    <xf numFmtId="182" fontId="3" fillId="0" borderId="0" xfId="2" applyNumberFormat="1" applyFont="1" applyAlignment="1">
      <alignment horizontal="center"/>
    </xf>
    <xf numFmtId="182" fontId="3" fillId="0" borderId="0" xfId="1" applyNumberFormat="1" applyFont="1" applyAlignment="1">
      <alignment horizontal="center"/>
    </xf>
    <xf numFmtId="0" fontId="5" fillId="0" borderId="0" xfId="4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0" xfId="4" applyFont="1" applyFill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11" fillId="5" borderId="0" xfId="4" applyFont="1" applyFill="1" applyAlignment="1">
      <alignment horizontal="center" wrapText="1"/>
    </xf>
    <xf numFmtId="0" fontId="20" fillId="5" borderId="0" xfId="4" applyFont="1" applyFill="1" applyAlignment="1">
      <alignment horizontal="center" wrapText="1"/>
    </xf>
    <xf numFmtId="0" fontId="21" fillId="4" borderId="0" xfId="0" applyFont="1" applyFill="1" applyAlignment="1">
      <alignment horizontal="left" vertical="center" wrapText="1"/>
    </xf>
    <xf numFmtId="0" fontId="25" fillId="11" borderId="5" xfId="4" applyFont="1" applyFill="1" applyBorder="1" applyAlignment="1">
      <alignment horizontal="center" vertical="center" wrapText="1"/>
    </xf>
    <xf numFmtId="0" fontId="8" fillId="0" borderId="0" xfId="4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9" borderId="0" xfId="4" applyFont="1" applyFill="1" applyAlignment="1">
      <alignment horizontal="left" vertical="center"/>
    </xf>
    <xf numFmtId="0" fontId="6" fillId="10" borderId="0" xfId="4" applyFont="1" applyFill="1" applyAlignment="1">
      <alignment horizontal="left" vertical="center"/>
    </xf>
    <xf numFmtId="0" fontId="6" fillId="10" borderId="3" xfId="4" applyFont="1" applyFill="1" applyBorder="1" applyAlignment="1">
      <alignment horizontal="center" vertical="center" wrapText="1"/>
    </xf>
    <xf numFmtId="0" fontId="6" fillId="10" borderId="4" xfId="4" applyFont="1" applyFill="1" applyBorder="1" applyAlignment="1">
      <alignment horizontal="center" vertical="center" wrapText="1"/>
    </xf>
    <xf numFmtId="0" fontId="6" fillId="10" borderId="5" xfId="4" applyFont="1" applyFill="1" applyBorder="1" applyAlignment="1">
      <alignment horizontal="center" vertical="center" wrapText="1"/>
    </xf>
    <xf numFmtId="0" fontId="6" fillId="10" borderId="6" xfId="4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1" fontId="28" fillId="11" borderId="3" xfId="4" applyNumberFormat="1" applyFont="1" applyFill="1" applyBorder="1" applyAlignment="1">
      <alignment horizontal="center" vertical="center" wrapText="1"/>
    </xf>
    <xf numFmtId="1" fontId="28" fillId="11" borderId="5" xfId="4" applyNumberFormat="1" applyFont="1" applyFill="1" applyBorder="1" applyAlignment="1">
      <alignment horizontal="center" vertical="center" wrapText="1"/>
    </xf>
    <xf numFmtId="1" fontId="28" fillId="11" borderId="9" xfId="4" applyNumberFormat="1" applyFont="1" applyFill="1" applyBorder="1" applyAlignment="1">
      <alignment horizontal="center" vertical="center" wrapText="1"/>
    </xf>
    <xf numFmtId="0" fontId="6" fillId="2" borderId="0" xfId="4" applyFont="1" applyFill="1" applyAlignment="1">
      <alignment horizontal="center" vertical="center" wrapText="1"/>
    </xf>
    <xf numFmtId="0" fontId="29" fillId="11" borderId="5" xfId="4" applyFont="1" applyFill="1" applyBorder="1" applyAlignment="1">
      <alignment horizontal="center" vertical="center" wrapText="1"/>
    </xf>
    <xf numFmtId="1" fontId="31" fillId="11" borderId="3" xfId="4" applyNumberFormat="1" applyFont="1" applyFill="1" applyBorder="1" applyAlignment="1">
      <alignment horizontal="center" vertical="center" wrapText="1"/>
    </xf>
    <xf numFmtId="1" fontId="31" fillId="11" borderId="5" xfId="4" applyNumberFormat="1" applyFont="1" applyFill="1" applyBorder="1" applyAlignment="1">
      <alignment horizontal="center" vertical="center" wrapText="1"/>
    </xf>
    <xf numFmtId="1" fontId="31" fillId="11" borderId="9" xfId="4" applyNumberFormat="1" applyFont="1" applyFill="1" applyBorder="1" applyAlignment="1">
      <alignment horizontal="center" vertical="center" wrapText="1"/>
    </xf>
    <xf numFmtId="1" fontId="6" fillId="2" borderId="0" xfId="4" applyNumberFormat="1" applyFont="1" applyFill="1" applyAlignment="1">
      <alignment horizontal="center" vertical="center" wrapText="1"/>
    </xf>
    <xf numFmtId="0" fontId="6" fillId="14" borderId="0" xfId="4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41" fillId="30" borderId="13" xfId="5" applyFont="1" applyFill="1" applyBorder="1" applyAlignment="1">
      <alignment horizontal="center" vertical="center"/>
    </xf>
    <xf numFmtId="0" fontId="40" fillId="18" borderId="17" xfId="5" applyFont="1" applyFill="1" applyBorder="1" applyAlignment="1">
      <alignment horizontal="center" vertical="center"/>
    </xf>
    <xf numFmtId="0" fontId="39" fillId="25" borderId="0" xfId="5" applyFont="1" applyFill="1" applyAlignment="1">
      <alignment horizontal="center" vertical="center"/>
    </xf>
    <xf numFmtId="0" fontId="39" fillId="29" borderId="17" xfId="5" applyFont="1" applyFill="1" applyBorder="1" applyAlignment="1">
      <alignment horizontal="center" vertical="center"/>
    </xf>
    <xf numFmtId="0" fontId="41" fillId="29" borderId="17" xfId="5" applyFont="1" applyFill="1" applyBorder="1" applyAlignment="1">
      <alignment horizontal="center" vertical="center"/>
    </xf>
    <xf numFmtId="0" fontId="41" fillId="29" borderId="13" xfId="5" applyFont="1" applyFill="1" applyBorder="1" applyAlignment="1">
      <alignment horizontal="center" vertical="center"/>
    </xf>
    <xf numFmtId="0" fontId="39" fillId="30" borderId="17" xfId="5" applyFont="1" applyFill="1" applyBorder="1" applyAlignment="1">
      <alignment horizontal="center" vertical="center"/>
    </xf>
    <xf numFmtId="0" fontId="41" fillId="30" borderId="17" xfId="5" applyFont="1" applyFill="1" applyBorder="1" applyAlignment="1">
      <alignment horizontal="center" vertical="center"/>
    </xf>
    <xf numFmtId="0" fontId="35" fillId="17" borderId="0" xfId="5" applyFont="1" applyFill="1" applyAlignment="1">
      <alignment horizontal="center" vertical="center" wrapText="1"/>
    </xf>
    <xf numFmtId="0" fontId="39" fillId="18" borderId="0" xfId="5" applyFont="1" applyFill="1" applyAlignment="1">
      <alignment horizontal="center" vertical="center"/>
    </xf>
    <xf numFmtId="0" fontId="41" fillId="18" borderId="10" xfId="5" applyFont="1" applyFill="1" applyBorder="1" applyAlignment="1">
      <alignment horizontal="center" vertical="center"/>
    </xf>
    <xf numFmtId="0" fontId="41" fillId="18" borderId="13" xfId="5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wrapText="1"/>
    </xf>
    <xf numFmtId="0" fontId="0" fillId="2" borderId="0" xfId="0" applyFill="1"/>
    <xf numFmtId="0" fontId="51" fillId="2" borderId="0" xfId="0" applyFont="1" applyFill="1"/>
    <xf numFmtId="0" fontId="52" fillId="2" borderId="0" xfId="0" applyFont="1" applyFill="1"/>
    <xf numFmtId="0" fontId="53" fillId="2" borderId="0" xfId="0" applyFont="1" applyFill="1"/>
    <xf numFmtId="0" fontId="54" fillId="2" borderId="0" xfId="0" applyFont="1" applyFill="1" applyAlignment="1">
      <alignment horizontal="center" vertical="top" wrapText="1"/>
    </xf>
    <xf numFmtId="0" fontId="56" fillId="2" borderId="0" xfId="0" applyFont="1" applyFill="1" applyAlignment="1">
      <alignment vertical="top" wrapText="1"/>
    </xf>
    <xf numFmtId="0" fontId="56" fillId="2" borderId="0" xfId="0" applyFont="1" applyFill="1" applyAlignment="1">
      <alignment horizontal="center" vertical="top" wrapText="1"/>
    </xf>
    <xf numFmtId="0" fontId="56" fillId="34" borderId="19" xfId="0" applyFont="1" applyFill="1" applyBorder="1" applyAlignment="1">
      <alignment horizontal="left" vertical="top" wrapText="1" indent="1"/>
    </xf>
    <xf numFmtId="0" fontId="56" fillId="34" borderId="19" xfId="0" applyFont="1" applyFill="1" applyBorder="1" applyAlignment="1">
      <alignment horizontal="left" vertical="center" wrapText="1" indent="2"/>
    </xf>
    <xf numFmtId="0" fontId="56" fillId="34" borderId="19" xfId="0" applyFont="1" applyFill="1" applyBorder="1" applyAlignment="1">
      <alignment horizontal="center" vertical="center" wrapText="1"/>
    </xf>
    <xf numFmtId="0" fontId="56" fillId="33" borderId="20" xfId="0" applyFont="1" applyFill="1" applyBorder="1" applyAlignment="1">
      <alignment horizontal="left" vertical="top" wrapText="1" indent="1"/>
    </xf>
    <xf numFmtId="166" fontId="57" fillId="0" borderId="20" xfId="0" applyNumberFormat="1" applyFont="1" applyBorder="1" applyAlignment="1">
      <alignment horizontal="left" vertical="top" shrinkToFit="1"/>
    </xf>
    <xf numFmtId="183" fontId="0" fillId="2" borderId="0" xfId="0" applyNumberFormat="1" applyFill="1"/>
    <xf numFmtId="0" fontId="52" fillId="2" borderId="0" xfId="0" applyFont="1" applyFill="1" applyAlignment="1">
      <alignment horizontal="center"/>
    </xf>
    <xf numFmtId="0" fontId="54" fillId="2" borderId="0" xfId="0" applyFont="1" applyFill="1" applyAlignment="1">
      <alignment vertical="top" wrapText="1"/>
    </xf>
    <xf numFmtId="0" fontId="0" fillId="2" borderId="21" xfId="0" applyFill="1" applyBorder="1"/>
    <xf numFmtId="0" fontId="0" fillId="2" borderId="22" xfId="0" applyFill="1" applyBorder="1"/>
    <xf numFmtId="0" fontId="0" fillId="2" borderId="0" xfId="0" applyFill="1" applyBorder="1"/>
    <xf numFmtId="0" fontId="51" fillId="2" borderId="0" xfId="0" applyFont="1" applyFill="1" applyBorder="1"/>
    <xf numFmtId="0" fontId="52" fillId="2" borderId="0" xfId="0" applyFont="1" applyFill="1" applyBorder="1"/>
    <xf numFmtId="0" fontId="53" fillId="2" borderId="0" xfId="0" applyFont="1" applyFill="1" applyBorder="1"/>
    <xf numFmtId="0" fontId="56" fillId="2" borderId="0" xfId="0" applyFont="1" applyFill="1" applyBorder="1" applyAlignment="1">
      <alignment horizontal="center" vertical="top" wrapText="1"/>
    </xf>
    <xf numFmtId="0" fontId="56" fillId="2" borderId="0" xfId="0" applyFont="1" applyFill="1" applyBorder="1" applyAlignment="1">
      <alignment vertical="top" wrapText="1"/>
    </xf>
    <xf numFmtId="183" fontId="0" fillId="2" borderId="0" xfId="0" applyNumberFormat="1" applyFill="1" applyBorder="1"/>
    <xf numFmtId="0" fontId="52" fillId="2" borderId="0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 vertical="top" wrapText="1"/>
    </xf>
    <xf numFmtId="0" fontId="54" fillId="2" borderId="0" xfId="0" applyFont="1" applyFill="1" applyBorder="1" applyAlignment="1">
      <alignment vertical="top" wrapText="1"/>
    </xf>
    <xf numFmtId="180" fontId="0" fillId="2" borderId="0" xfId="0" applyNumberFormat="1" applyFill="1" applyBorder="1"/>
  </cellXfs>
  <cellStyles count="7">
    <cellStyle name="Millares" xfId="2" builtinId="3"/>
    <cellStyle name="Millares 10" xfId="6" xr:uid="{A2CBF1E0-6F4E-42F3-B169-87DC94EE8A74}"/>
    <cellStyle name="Moneda" xfId="3" builtinId="4"/>
    <cellStyle name="Normal" xfId="0" builtinId="0"/>
    <cellStyle name="Normal 10 3" xfId="4" xr:uid="{839B6F4A-E7E3-4FAB-9EE0-89A165AF7EC2}"/>
    <cellStyle name="Normal 2 13" xfId="5" xr:uid="{F648C4F0-A18C-4DE8-8D5D-C4680B777A1C}"/>
    <cellStyle name="Porcentaje" xfId="1" builtinId="5"/>
  </cellStyles>
  <dxfs count="33"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82" formatCode="0.00\ &quot;€/Kw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0\ &quot; €/kWh&quot;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0\ &quot; €/kWh&quot;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00000\ &quot; €/kWh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76" formatCode="0.000000\ &quot;€/día&quot;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000\ &quot;€/kW*día&quot;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000\ &quot;€/kW*día&quot;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12</xdr:row>
      <xdr:rowOff>0</xdr:rowOff>
    </xdr:from>
    <xdr:to>
      <xdr:col>15</xdr:col>
      <xdr:colOff>302455</xdr:colOff>
      <xdr:row>13</xdr:row>
      <xdr:rowOff>140530</xdr:rowOff>
    </xdr:to>
    <xdr:sp macro="" textlink="">
      <xdr:nvSpPr>
        <xdr:cNvPr id="2" name="avatar" descr="data:image/pjpeg;base64,/9j/4AAQSkZJRgABAQEAYABgAAD/2wBDAAEBAQEBAQEBAQEBAQEBAQEBAQEBAQEBAQEBAQEBAQEBAQEBAQEBAQEBAQEBAQEBAQEBAQEBAQEBAQEBAQEBAQH/2wBDAQEBAQEBAQEBAQEBAQEBAQEBAQEBAQEBAQEBAQEBAQEBAQEBAQEBAQEBAQEBAQEBAQEBAQEBAQEBAQEBAQEBAQH/wAARCABAAC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bdM0omYDaNzQRtk5HPlb2wuRuJLuQvOeFAYkCvlX9sL9t34Vfsb6HaQa7bXXi34k67ptzf8AhnwHpc0Vu8lrE5gj1XxBqjrJBomjSXPnRQOsF/qWoyQ3S6bp88Vnf3Nn9h+IvEWkeBPCHibx5ry3EeieDvCmseK9Ya3jWS5TS/D+l3erX7wxsU8y4FjZSiCIMnmvtiJAfcP457JfiV/wUQ/akvdUubcWmu+OdYl8TXzyXh1DSvB3hJVs/sGnRTtCftEfh/SFtNH0vzYLaW6a1hllhgLeXD25pi4YSmvfjTjLmm5yuvZQ095eUrqzdrvZHi5VllXMcQ4wpzqtOMOSLUeeemstbKMdW9bWPqXX/wDgtD+1Jq2sLdaDpHw18F6GkZKadbeGrzV3ZXMjRtcajrGp3kz3YQDIggsrdpIlLQEl0P3P+x7/AMFi9G8b6xqvhr9paPw14Kih02OfQvGOjWOrwWOo3y3MMN1puu6b5mr+Rdm1mfULXU4JbDT1NjdWslhGuyavYfhF/wAEgfgzofh/xBpvjHUL7x22vW1s4u9R06x0nU9OniaPzZtPvrB2I81PMjGbdXRJ5guZTGI/lL9qX/gk54X8J6JqHiv4Fm70/WdNiLjwpdX0s9nfxqsiTraalqkl1dx3kkDtGTcTvDcFm8oW4uBCnysc9hTnCcnWpwqtqFWr70JWS3S1XzW3U+xlwgsVCpRw88HWxFOLlPDUE1iIyirtU5JOFSStZxTUr7Kx/Q38JPij8LPjXoH/AAknwq8deF/HWkwSC2u5/DOtadqz6bdnzALPU4rKeWXTblhGzR295HBJLGBJGjRkNXr66PuAAjOD0xjPQdQR36g98/l/If8A8EgPizrnwc/a1tvh7ql7e2Oi+P49X8Lax4XuZ1jSx11b22EV8ILh08meKXTljuvIgLzfZIYmV47eOWH+ytbYEA7PvAYIzn5QFYAnAwCDjA5HIwOB9dgMXHGUp3Xv052nKztKDUZU57bSV3fr91/zjNsHPLKsYTbcKkZSgpKzUlJwqRWj95SjZ9U1pc/me/4KZ/tz+Ovhd4e8dfBLwR4c8JnSPHfgTWPB+qeINfGuJ4l0ZdbsbvRfEElnpMkNpYpbTafPKmhXuqyvJfSSf2jaabqGnLvX4D/4JEeJofBFz8QNT07wfrnjTXr690+Gy07RTolrPbaJolpcXOq31/qfiDUtK0nS9JtX1ezW7u7zUYY1uLuxi2yfuin0J/wW0+B/i/w14f8Ahh8TbzxZe+JdM1TxBrvh/WG1NdPtr77dLYx6vod3bWGkWNnpcenwWYuvDyv5C3y/YdMe6uL43CfZvG/+CS/wc8K/GrwT8YPCviq7u00465oC6lY2s7Q/2lpNxFFczadqCxNHO+majc6ZbPcxRywG4axRXd0URH53PFUrUa8cTKTtiaaskm6dFVIuEUrP3U0rr/hz9J4RlQoY7DPDtRjLB4j2k3zcjqSoyjJy5IuTXve7ZXi9bu2v9O3wP+K3/CZ6Etz4q8MWXg7W2huZ4tKtPFWkeKrSewjdMXEGuaQXtJ8BlMgi5XzY8qkMisfiT44fHjUrH4l2HgPxP4+s/Cdr4rs/EWv+DdL0L4FeNPHMU3h3wxEb7XbrX/Fltr2maLZaTpWjFdT19wlxfWlrNcXayWsD28p+ldN8B+GPhFZfDHwpZXtn4d8Kaf4Zn8G+HRrN6i4sNJ0m1s4IXnfdPeXrxRxky3DzzsEeWSUCPI9k+H+gaB4u8I/bI7HTdVW2nnt83drvWZLUh4ZrdLuMOFI2sAUiIMaeamMFvCdOeLf1Ks1KjBV7csYRc5XTpc93zONn9nlTUejPqYywWUf8K+HptrF1MOo256sKEnN+19lUqRT96UW05R5knZWZ/F1+2l4S8Qfsz/tb2Xi21nu/Dsvi6xj8c6ZqWiyz3EGla5d3z2+tXehTrNb/AGu2luIRqkEV0JIVt9WjSa3MZAX+nT9gH/goMfjV4Jso/i1430i68VRBdG0y7gk8NaBHqtvp1lc3suqS6et02q32r3kNu51E6fpR0fS/sotpzpd+8sN9+eP/AAWP/Z38Z/G4eArv4c6BZalrvgLTvHHibVN99p+lNZ+FtG0lNQ8QiK6v5Le0Z0Gn2k8dk9xFNOYNtqks2Y2+D/8Agj78MPjN41/a+0/wBpesar4GTRvA3ifx3e63HYSanDpMNpon/CMaf4i0wpqVhBb6hep4q/4Rm117TbmS7m0TxDrOlgf2dqV5HF6OAq4iksNKhWbnDkoVaSs1WjDkjFtaX5Ul1erWnf5biPBUK1TFyxeEjGjVk8XhMRvGlKrCM6tKM7NW53eSsrtuz0P1k/4K2afrfxJ+BGnS6pZy+E9Ms/EGiWnhXQtQt3vNe8Ra3qUsgSc2FgLh7E2yIltBE6NNFpt1rF3cyFoLa3b4b/4JmfEb4U/Dz4p3vwT0vUYl+Imn63rOh+ItSW3Wzs/iDYW1vZarB9lLSrPNqHgHX7PxXpkX2iC5u9R0LWBcG5gt9MstOtv3X/bZ+EHxN+IfwqW5+CulaJqfxWspwPC+q+IbpYD4UkvdOvNPn1/Sp7lZYoNShgvHi3tbSeZHcvDKPspuY5P4yNS0Xx/+zD8YLjU7zxLYSfGzwP8AETU7/UbqHVotelfxHpuqxtqVvqd1aP8AvJ9Wknv4dUc3UaXlnf3du8ks11KkXVmtF/W60Ks6lq6hOLaaj7Xd625YqP2lG67mHDuMjQw2HqQp0L0uajWV17WFCTi37LducpP3JzvomrdT+034vfE3x7o2v+CtI8H/AA3l8XG8tpbz+2r28sbXw/pcQKwGOaUvLqCXcrJ9p/eWcFmE277syRCM7vww8W/Hq88Yxr418NeC9G8GSxXMzX1hrWpzaskpiAhgtbI2AtLtJpndZ3aa0SOIyPDNcs6xr8Ifs8f8FGvhN4y0Twhc/F1Lr4PeIb7w7p9+1v4zin0vw5dpcxxXUr+GPFN+I9M1WzlWbz4P9IjvEWSWKa3iltip9s8ef8FAPhXel9A+Aun638bPFt0v2fS9O8D6bdanoUd62Fjudd8W+SPDnh/S0LL9o1C8vfJiX5wrPuDfO05zUKlapiox9nWT9xcvNGNo2c+WWnbXq9j9Erexll9HJcPw9g5zqUZ3zOvVxXtYOo/aKUIOpGlCdpx5uWGjWjPhn/gsT8WPEvhDw1o/w88CanpNj4i+Ltl4s0TxMt29sl1b/D63isL3W1sri4kjFg93dxabZvNHtungkkSFo1DSn6F/4IOfs3fEb4e/Dzxr8afiVp19paeL4LLwv8MrHXNKm0/xBJ4YtU0+58Ta2z3kIuU8Na5qWnaFa+HIcj7SPDd9qkkXlX9lK/5E/wDBR34ceLtS8VfBj4h/HPV7yXW/Geva7H8RZvBlmmq2PgjwZB/wh39n+HfB9jqOoaVb6u2hi71uWG81K/0WPxBr9+z3t3pdlc2yaf8A0kfsI/tW/AvXPhd8M/hloHxe8Z/EfX47abQvDjePtC8J6N4x/wCEX0HQr6/06XVdM8DK+kWegaLpWjLor65qt1dag+tTaPa+INRGs+JtFtbn2cjlh8Q6FVVKaVP2lSKlyqpOr7Sze7lZK61Vr+d7/n3GcMxwUa2BSnJ8mGp1HGU504Yf2MKjjCL0i3KS55XbemyPAv2t/wDgqf8AszfAPwL4q0zwn8WPBPxA+MkWg6kvhHwd4NvbnxpbJ4iNvJBYr4h17wtZ6x4c8PizuWS5ubHXtUsr2aJBCLZkmyv863wg/Yd/af8A26fFVr8cfHGq2ej6J451nUtV8S/EpodBt57+OxmktJb7QfDWhJp9vc3l5qFvPG80kOkWm9ftSyytMou/Bv2DP2SdW/ah+M+naHcW1/ZfDDwkIfEfxL12zs52hg0eKQNp3hWwlRoY01vxfdRyaXaJHeRXVlpUOveILaG9j8PXduP7Nvhd8Kfhr8M9Hubb4deGbLwdo2sy29y/h3Q5Ly38OWt5bWhi87SfDyTPo+gvOkUQv/7GsLKPUZoFuLtZr95Jn+ixKePnGKk6VGEJTcYtVPfas1dJO0tL+nmj5bC1aOVQajF1KlRwXPKMk7Rkmkot2VtdZad33+D/AIQ+GNKPww0vSvEWlaNfXXhLxZ4g0W6sdU0qxntJLjQ/EV/p0VyNOujdxWyXMFsl3bWnzG3gmtovMby95+zfEOtG70TSdPt202KJxbQ29np6xxRRwRhFwLeL5IfLyFUKNgIOOABXhHi3wRex6vr97pLNp8OoeIdRbUreFSqCW5vXa2voQVUCVo3huHUxxo6SnZgKAItFtfFzyfZGdJotPjaZpobZoJZ3tldlRmVv3jPIMvs2nkfLkjd+PVK88BicThnTlzVKk1FxfaT67q7s7X0fRH9PUsDh8ywmW4/6zSk6WHpSamn7ilRpRtJRajJxm0uq6a9KPxT/AGbvDf7UfiCLwZq+papoFz4N0VdY03xPoJtJb/StX1G4tdJlsZrLULS90zV9N1rw/HrOn6tpuoW0sE1q0EqxxXUMEtr+Zf7W37BHxl/Y38R6N+0P+zK198RdFaS6sPHPge48Nf2tdaRd6nGdH07V7Lw3pks9z4k0K9u9ZuHltbaxkvvCupfZb9Tc6PeXZ0D+gD4JeFp/DEWt3upI63+oLprXMsgAkdolu55surBm4ufLVnwY3WSNSZdue5vfFWieKrfTr7wnqen6/pzl2TU9E1KDVLC4iEUiqIr3TpJoZVZ2WQNFNuIVQ7uoZW/R8iy+nDLKOIqUpLELn1fMkoTnGSi4J8rbd2ml287/AILxbnFSrxFjcHQxMauCjKjTspaSnRoxhO17uylF6X8nsf/Z">
          <a:extLst>
            <a:ext uri="{FF2B5EF4-FFF2-40B4-BE49-F238E27FC236}">
              <a16:creationId xmlns:a16="http://schemas.microsoft.com/office/drawing/2014/main" id="{293B37CC-B87F-47A0-B2A3-6382CCB7CB28}"/>
            </a:ext>
          </a:extLst>
        </xdr:cNvPr>
        <xdr:cNvSpPr>
          <a:spLocks noChangeAspect="1" noChangeArrowheads="1"/>
        </xdr:cNvSpPr>
      </xdr:nvSpPr>
      <xdr:spPr bwMode="auto">
        <a:xfrm>
          <a:off x="32451675" y="4800600"/>
          <a:ext cx="302455" cy="302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122671</xdr:colOff>
      <xdr:row>73</xdr:row>
      <xdr:rowOff>138545</xdr:rowOff>
    </xdr:from>
    <xdr:to>
      <xdr:col>2</xdr:col>
      <xdr:colOff>486423</xdr:colOff>
      <xdr:row>79</xdr:row>
      <xdr:rowOff>11606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6D5FEE0-DB32-4C3B-A407-6C753FB0C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621" y="29827970"/>
          <a:ext cx="792377" cy="844611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5</xdr:row>
      <xdr:rowOff>0</xdr:rowOff>
    </xdr:from>
    <xdr:ext cx="302455" cy="302455"/>
    <xdr:sp macro="" textlink="">
      <xdr:nvSpPr>
        <xdr:cNvPr id="9" name="avatar" descr="data:image/pjpeg;base64,/9j/4AAQSkZJRgABAQEAYABgAAD/2wBDAAEBAQEBAQEBAQEBAQEBAQEBAQEBAQEBAQEBAQEBAQEBAQEBAQEBAQEBAQEBAQEBAQEBAQEBAQEBAQEBAQEBAQH/2wBDAQEBAQEBAQEBAQEBAQEBAQEBAQEBAQEBAQEBAQEBAQEBAQEBAQEBAQEBAQEBAQEBAQEBAQEBAQEBAQEBAQEBAQH/wAARCABAAC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bdM0omYDaNzQRtk5HPlb2wuRuJLuQvOeFAYkCvlX9sL9t34Vfsb6HaQa7bXXi34k67ptzf8AhnwHpc0Vu8lrE5gj1XxBqjrJBomjSXPnRQOsF/qWoyQ3S6bp88Vnf3Nn9h+IvEWkeBPCHibx5ry3EeieDvCmseK9Ya3jWS5TS/D+l3erX7wxsU8y4FjZSiCIMnmvtiJAfcP457JfiV/wUQ/akvdUubcWmu+OdYl8TXzyXh1DSvB3hJVs/sGnRTtCftEfh/SFtNH0vzYLaW6a1hllhgLeXD25pi4YSmvfjTjLmm5yuvZQ095eUrqzdrvZHi5VllXMcQ4wpzqtOMOSLUeeemstbKMdW9bWPqXX/wDgtD+1Jq2sLdaDpHw18F6GkZKadbeGrzV3ZXMjRtcajrGp3kz3YQDIggsrdpIlLQEl0P3P+x7/AMFi9G8b6xqvhr9paPw14Kih02OfQvGOjWOrwWOo3y3MMN1puu6b5mr+Rdm1mfULXU4JbDT1NjdWslhGuyavYfhF/wAEgfgzofh/xBpvjHUL7x22vW1s4u9R06x0nU9OniaPzZtPvrB2I81PMjGbdXRJ5guZTGI/lL9qX/gk54X8J6JqHiv4Fm70/WdNiLjwpdX0s9nfxqsiTraalqkl1dx3kkDtGTcTvDcFm8oW4uBCnysc9hTnCcnWpwqtqFWr70JWS3S1XzW3U+xlwgsVCpRw88HWxFOLlPDUE1iIyirtU5JOFSStZxTUr7Kx/Q38JPij8LPjXoH/AAknwq8deF/HWkwSC2u5/DOtadqz6bdnzALPU4rKeWXTblhGzR295HBJLGBJGjRkNXr66PuAAjOD0xjPQdQR36g98/l/If8A8EgPizrnwc/a1tvh7ql7e2Oi+P49X8Lax4XuZ1jSx11b22EV8ILh08meKXTljuvIgLzfZIYmV47eOWH+ytbYEA7PvAYIzn5QFYAnAwCDjA5HIwOB9dgMXHGUp3Xv052nKztKDUZU57bSV3fr91/zjNsHPLKsYTbcKkZSgpKzUlJwqRWj95SjZ9U1pc/me/4KZ/tz+Ovhd4e8dfBLwR4c8JnSPHfgTWPB+qeINfGuJ4l0ZdbsbvRfEElnpMkNpYpbTafPKmhXuqyvJfSSf2jaabqGnLvX4D/4JEeJofBFz8QNT07wfrnjTXr690+Gy07RTolrPbaJolpcXOq31/qfiDUtK0nS9JtX1ezW7u7zUYY1uLuxi2yfuin0J/wW0+B/i/w14f8Ahh8TbzxZe+JdM1TxBrvh/WG1NdPtr77dLYx6vod3bWGkWNnpcenwWYuvDyv5C3y/YdMe6uL43CfZvG/+CS/wc8K/GrwT8YPCviq7u00465oC6lY2s7Q/2lpNxFFczadqCxNHO+majc6ZbPcxRywG4axRXd0URH53PFUrUa8cTKTtiaaskm6dFVIuEUrP3U0rr/hz9J4RlQoY7DPDtRjLB4j2k3zcjqSoyjJy5IuTXve7ZXi9bu2v9O3wP+K3/CZ6Etz4q8MWXg7W2huZ4tKtPFWkeKrSewjdMXEGuaQXtJ8BlMgi5XzY8qkMisfiT44fHjUrH4l2HgPxP4+s/Cdr4rs/EWv+DdL0L4FeNPHMU3h3wxEb7XbrX/Fltr2maLZaTpWjFdT19wlxfWlrNcXayWsD28p+ldN8B+GPhFZfDHwpZXtn4d8Kaf4Zn8G+HRrN6i4sNJ0m1s4IXnfdPeXrxRxky3DzzsEeWSUCPI9k+H+gaB4u8I/bI7HTdVW2nnt83drvWZLUh4ZrdLuMOFI2sAUiIMaeamMFvCdOeLf1Ks1KjBV7csYRc5XTpc93zONn9nlTUejPqYywWUf8K+HptrF1MOo256sKEnN+19lUqRT96UW05R5knZWZ/F1+2l4S8Qfsz/tb2Xi21nu/Dsvi6xj8c6ZqWiyz3EGla5d3z2+tXehTrNb/AGu2luIRqkEV0JIVt9WjSa3MZAX+nT9gH/goMfjV4Jso/i1430i68VRBdG0y7gk8NaBHqtvp1lc3suqS6et02q32r3kNu51E6fpR0fS/sotpzpd+8sN9+eP/AAWP/Z38Z/G4eArv4c6BZalrvgLTvHHibVN99p+lNZ+FtG0lNQ8QiK6v5Le0Z0Gn2k8dk9xFNOYNtqks2Y2+D/8Agj78MPjN41/a+0/wBpesar4GTRvA3ifx3e63HYSanDpMNpon/CMaf4i0wpqVhBb6hep4q/4Rm117TbmS7m0TxDrOlgf2dqV5HF6OAq4iksNKhWbnDkoVaSs1WjDkjFtaX5Ul1erWnf5biPBUK1TFyxeEjGjVk8XhMRvGlKrCM6tKM7NW53eSsrtuz0P1k/4K2afrfxJ+BGnS6pZy+E9Ms/EGiWnhXQtQt3vNe8Ra3qUsgSc2FgLh7E2yIltBE6NNFpt1rF3cyFoLa3b4b/4JmfEb4U/Dz4p3vwT0vUYl+Imn63rOh+ItSW3Wzs/iDYW1vZarB9lLSrPNqHgHX7PxXpkX2iC5u9R0LWBcG5gt9MstOtv3X/bZ+EHxN+IfwqW5+CulaJqfxWspwPC+q+IbpYD4UkvdOvNPn1/Sp7lZYoNShgvHi3tbSeZHcvDKPspuY5P4yNS0Xx/+zD8YLjU7zxLYSfGzwP8AETU7/UbqHVotelfxHpuqxtqVvqd1aP8AvJ9Wknv4dUc3UaXlnf3du8ks11KkXVmtF/W60Ks6lq6hOLaaj7Xd625YqP2lG67mHDuMjQw2HqQp0L0uajWV17WFCTi37LducpP3JzvomrdT+034vfE3x7o2v+CtI8H/AA3l8XG8tpbz+2r28sbXw/pcQKwGOaUvLqCXcrJ9p/eWcFmE277syRCM7vww8W/Hq88Yxr418NeC9G8GSxXMzX1hrWpzaskpiAhgtbI2AtLtJpndZ3aa0SOIyPDNcs6xr8Ifs8f8FGvhN4y0Twhc/F1Lr4PeIb7w7p9+1v4zin0vw5dpcxxXUr+GPFN+I9M1WzlWbz4P9IjvEWSWKa3iltip9s8ef8FAPhXel9A+Aun638bPFt0v2fS9O8D6bdanoUd62Fjudd8W+SPDnh/S0LL9o1C8vfJiX5wrPuDfO05zUKlapiox9nWT9xcvNGNo2c+WWnbXq9j9Erexll9HJcPw9g5zqUZ3zOvVxXtYOo/aKUIOpGlCdpx5uWGjWjPhn/gsT8WPEvhDw1o/w88CanpNj4i+Ltl4s0TxMt29sl1b/D63isL3W1sri4kjFg93dxabZvNHtungkkSFo1DSn6F/4IOfs3fEb4e/Dzxr8afiVp19paeL4LLwv8MrHXNKm0/xBJ4YtU0+58Ta2z3kIuU8Na5qWnaFa+HIcj7SPDd9qkkXlX9lK/5E/wDBR34ceLtS8VfBj4h/HPV7yXW/Geva7H8RZvBlmmq2PgjwZB/wh39n+HfB9jqOoaVb6u2hi71uWG81K/0WPxBr9+z3t3pdlc2yaf8A0kfsI/tW/AvXPhd8M/hloHxe8Z/EfX47abQvDjePtC8J6N4x/wCEX0HQr6/06XVdM8DK+kWegaLpWjLor65qt1dag+tTaPa+INRGs+JtFtbn2cjlh8Q6FVVKaVP2lSKlyqpOr7Sze7lZK61Vr+d7/n3GcMxwUa2BSnJ8mGp1HGU504Yf2MKjjCL0i3KS55XbemyPAv2t/wDgqf8AszfAPwL4q0zwn8WPBPxA+MkWg6kvhHwd4NvbnxpbJ4iNvJBYr4h17wtZ6x4c8PizuWS5ubHXtUsr2aJBCLZkmyv863wg/Yd/af8A26fFVr8cfHGq2ej6J451nUtV8S/EpodBt57+OxmktJb7QfDWhJp9vc3l5qFvPG80kOkWm9ftSyytMou/Bv2DP2SdW/ah+M+naHcW1/ZfDDwkIfEfxL12zs52hg0eKQNp3hWwlRoY01vxfdRyaXaJHeRXVlpUOveILaG9j8PXduP7Nvhd8Kfhr8M9Hubb4deGbLwdo2sy29y/h3Q5Ly38OWt5bWhi87SfDyTPo+gvOkUQv/7GsLKPUZoFuLtZr95Jn+ixKePnGKk6VGEJTcYtVPfas1dJO0tL+nmj5bC1aOVQajF1KlRwXPKMk7Rkmkot2VtdZad33+D/AIQ+GNKPww0vSvEWlaNfXXhLxZ4g0W6sdU0qxntJLjQ/EV/p0VyNOujdxWyXMFsl3bWnzG3gmtovMby95+zfEOtG70TSdPt202KJxbQ29np6xxRRwRhFwLeL5IfLyFUKNgIOOABXhHi3wRex6vr97pLNp8OoeIdRbUreFSqCW5vXa2voQVUCVo3huHUxxo6SnZgKAItFtfFzyfZGdJotPjaZpobZoJZ3tldlRmVv3jPIMvs2nkfLkjd+PVK88BicThnTlzVKk1FxfaT67q7s7X0fRH9PUsDh8ywmW4/6zSk6WHpSamn7ilRpRtJRajJxm0uq6a9KPxT/AGbvDf7UfiCLwZq+papoFz4N0VdY03xPoJtJb/StX1G4tdJlsZrLULS90zV9N1rw/HrOn6tpuoW0sE1q0EqxxXUMEtr+Zf7W37BHxl/Y38R6N+0P+zK198RdFaS6sPHPge48Nf2tdaRd6nGdH07V7Lw3pks9z4k0K9u9ZuHltbaxkvvCupfZb9Tc6PeXZ0D+gD4JeFp/DEWt3upI63+oLprXMsgAkdolu55surBm4ufLVnwY3WSNSZdue5vfFWieKrfTr7wnqen6/pzl2TU9E1KDVLC4iEUiqIr3TpJoZVZ2WQNFNuIVQ7uoZW/R8iy+nDLKOIqUpLELn1fMkoTnGSi4J8rbd2ml287/AILxbnFSrxFjcHQxMauCjKjTspaSnRoxhO17uylF6X8nsf/Z">
          <a:extLst>
            <a:ext uri="{FF2B5EF4-FFF2-40B4-BE49-F238E27FC236}">
              <a16:creationId xmlns:a16="http://schemas.microsoft.com/office/drawing/2014/main" id="{1CA8B8AE-7D76-4FE1-B2E3-ED4DF5167239}"/>
            </a:ext>
          </a:extLst>
        </xdr:cNvPr>
        <xdr:cNvSpPr>
          <a:spLocks noChangeAspect="1" noChangeArrowheads="1"/>
        </xdr:cNvSpPr>
      </xdr:nvSpPr>
      <xdr:spPr bwMode="auto">
        <a:xfrm>
          <a:off x="32451675" y="1809750"/>
          <a:ext cx="302455" cy="302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20</xdr:row>
      <xdr:rowOff>0</xdr:rowOff>
    </xdr:from>
    <xdr:ext cx="302455" cy="302455"/>
    <xdr:sp macro="" textlink="">
      <xdr:nvSpPr>
        <xdr:cNvPr id="11" name="avatar" descr="data:image/pjpeg;base64,/9j/4AAQSkZJRgABAQEAYABgAAD/2wBDAAEBAQEBAQEBAQEBAQEBAQEBAQEBAQEBAQEBAQEBAQEBAQEBAQEBAQEBAQEBAQEBAQEBAQEBAQEBAQEBAQEBAQH/2wBDAQEBAQEBAQEBAQEBAQEBAQEBAQEBAQEBAQEBAQEBAQEBAQEBAQEBAQEBAQEBAQEBAQEBAQEBAQEBAQEBAQEBAQH/wAARCABAAC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bdM0omYDaNzQRtk5HPlb2wuRuJLuQvOeFAYkCvlX9sL9t34Vfsb6HaQa7bXXi34k67ptzf8AhnwHpc0Vu8lrE5gj1XxBqjrJBomjSXPnRQOsF/qWoyQ3S6bp88Vnf3Nn9h+IvEWkeBPCHibx5ry3EeieDvCmseK9Ya3jWS5TS/D+l3erX7wxsU8y4FjZSiCIMnmvtiJAfcP457JfiV/wUQ/akvdUubcWmu+OdYl8TXzyXh1DSvB3hJVs/sGnRTtCftEfh/SFtNH0vzYLaW6a1hllhgLeXD25pi4YSmvfjTjLmm5yuvZQ095eUrqzdrvZHi5VllXMcQ4wpzqtOMOSLUeeemstbKMdW9bWPqXX/wDgtD+1Jq2sLdaDpHw18F6GkZKadbeGrzV3ZXMjRtcajrGp3kz3YQDIggsrdpIlLQEl0P3P+x7/AMFi9G8b6xqvhr9paPw14Kih02OfQvGOjWOrwWOo3y3MMN1puu6b5mr+Rdm1mfULXU4JbDT1NjdWslhGuyavYfhF/wAEgfgzofh/xBpvjHUL7x22vW1s4u9R06x0nU9OniaPzZtPvrB2I81PMjGbdXRJ5guZTGI/lL9qX/gk54X8J6JqHiv4Fm70/WdNiLjwpdX0s9nfxqsiTraalqkl1dx3kkDtGTcTvDcFm8oW4uBCnysc9hTnCcnWpwqtqFWr70JWS3S1XzW3U+xlwgsVCpRw88HWxFOLlPDUE1iIyirtU5JOFSStZxTUr7Kx/Q38JPij8LPjXoH/AAknwq8deF/HWkwSC2u5/DOtadqz6bdnzALPU4rKeWXTblhGzR295HBJLGBJGjRkNXr66PuAAjOD0xjPQdQR36g98/l/If8A8EgPizrnwc/a1tvh7ql7e2Oi+P49X8Lax4XuZ1jSx11b22EV8ILh08meKXTljuvIgLzfZIYmV47eOWH+ytbYEA7PvAYIzn5QFYAnAwCDjA5HIwOB9dgMXHGUp3Xv052nKztKDUZU57bSV3fr91/zjNsHPLKsYTbcKkZSgpKzUlJwqRWj95SjZ9U1pc/me/4KZ/tz+Ovhd4e8dfBLwR4c8JnSPHfgTWPB+qeINfGuJ4l0ZdbsbvRfEElnpMkNpYpbTafPKmhXuqyvJfSSf2jaabqGnLvX4D/4JEeJofBFz8QNT07wfrnjTXr690+Gy07RTolrPbaJolpcXOq31/qfiDUtK0nS9JtX1ezW7u7zUYY1uLuxi2yfuin0J/wW0+B/i/w14f8Ahh8TbzxZe+JdM1TxBrvh/WG1NdPtr77dLYx6vod3bWGkWNnpcenwWYuvDyv5C3y/YdMe6uL43CfZvG/+CS/wc8K/GrwT8YPCviq7u00465oC6lY2s7Q/2lpNxFFczadqCxNHO+majc6ZbPcxRywG4axRXd0URH53PFUrUa8cTKTtiaaskm6dFVIuEUrP3U0rr/hz9J4RlQoY7DPDtRjLB4j2k3zcjqSoyjJy5IuTXve7ZXi9bu2v9O3wP+K3/CZ6Etz4q8MWXg7W2huZ4tKtPFWkeKrSewjdMXEGuaQXtJ8BlMgi5XzY8qkMisfiT44fHjUrH4l2HgPxP4+s/Cdr4rs/EWv+DdL0L4FeNPHMU3h3wxEb7XbrX/Fltr2maLZaTpWjFdT19wlxfWlrNcXayWsD28p+ldN8B+GPhFZfDHwpZXtn4d8Kaf4Zn8G+HRrN6i4sNJ0m1s4IXnfdPeXrxRxky3DzzsEeWSUCPI9k+H+gaB4u8I/bI7HTdVW2nnt83drvWZLUh4ZrdLuMOFI2sAUiIMaeamMFvCdOeLf1Ks1KjBV7csYRc5XTpc93zONn9nlTUejPqYywWUf8K+HptrF1MOo256sKEnN+19lUqRT96UW05R5knZWZ/F1+2l4S8Qfsz/tb2Xi21nu/Dsvi6xj8c6ZqWiyz3EGla5d3z2+tXehTrNb/AGu2luIRqkEV0JIVt9WjSa3MZAX+nT9gH/goMfjV4Jso/i1430i68VRBdG0y7gk8NaBHqtvp1lc3suqS6et02q32r3kNu51E6fpR0fS/sotpzpd+8sN9+eP/AAWP/Z38Z/G4eArv4c6BZalrvgLTvHHibVN99p+lNZ+FtG0lNQ8QiK6v5Le0Z0Gn2k8dk9xFNOYNtqks2Y2+D/8Agj78MPjN41/a+0/wBpesar4GTRvA3ifx3e63HYSanDpMNpon/CMaf4i0wpqVhBb6hep4q/4Rm117TbmS7m0TxDrOlgf2dqV5HF6OAq4iksNKhWbnDkoVaSs1WjDkjFtaX5Ul1erWnf5biPBUK1TFyxeEjGjVk8XhMRvGlKrCM6tKM7NW53eSsrtuz0P1k/4K2afrfxJ+BGnS6pZy+E9Ms/EGiWnhXQtQt3vNe8Ra3qUsgSc2FgLh7E2yIltBE6NNFpt1rF3cyFoLa3b4b/4JmfEb4U/Dz4p3vwT0vUYl+Imn63rOh+ItSW3Wzs/iDYW1vZarB9lLSrPNqHgHX7PxXpkX2iC5u9R0LWBcG5gt9MstOtv3X/bZ+EHxN+IfwqW5+CulaJqfxWspwPC+q+IbpYD4UkvdOvNPn1/Sp7lZYoNShgvHi3tbSeZHcvDKPspuY5P4yNS0Xx/+zD8YLjU7zxLYSfGzwP8AETU7/UbqHVotelfxHpuqxtqVvqd1aP8AvJ9Wknv4dUc3UaXlnf3du8ks11KkXVmtF/W60Ks6lq6hOLaaj7Xd625YqP2lG67mHDuMjQw2HqQp0L0uajWV17WFCTi37LducpP3JzvomrdT+034vfE3x7o2v+CtI8H/AA3l8XG8tpbz+2r28sbXw/pcQKwGOaUvLqCXcrJ9p/eWcFmE277syRCM7vww8W/Hq88Yxr418NeC9G8GSxXMzX1hrWpzaskpiAhgtbI2AtLtJpndZ3aa0SOIyPDNcs6xr8Ifs8f8FGvhN4y0Twhc/F1Lr4PeIb7w7p9+1v4zin0vw5dpcxxXUr+GPFN+I9M1WzlWbz4P9IjvEWSWKa3iltip9s8ef8FAPhXel9A+Aun638bPFt0v2fS9O8D6bdanoUd62Fjudd8W+SPDnh/S0LL9o1C8vfJiX5wrPuDfO05zUKlapiox9nWT9xcvNGNo2c+WWnbXq9j9Erexll9HJcPw9g5zqUZ3zOvVxXtYOo/aKUIOpGlCdpx5uWGjWjPhn/gsT8WPEvhDw1o/w88CanpNj4i+Ltl4s0TxMt29sl1b/D63isL3W1sri4kjFg93dxabZvNHtungkkSFo1DSn6F/4IOfs3fEb4e/Dzxr8afiVp19paeL4LLwv8MrHXNKm0/xBJ4YtU0+58Ta2z3kIuU8Na5qWnaFa+HIcj7SPDd9qkkXlX9lK/5E/wDBR34ceLtS8VfBj4h/HPV7yXW/Geva7H8RZvBlmmq2PgjwZB/wh39n+HfB9jqOoaVb6u2hi71uWG81K/0WPxBr9+z3t3pdlc2yaf8A0kfsI/tW/AvXPhd8M/hloHxe8Z/EfX47abQvDjePtC8J6N4x/wCEX0HQr6/06XVdM8DK+kWegaLpWjLor65qt1dag+tTaPa+INRGs+JtFtbn2cjlh8Q6FVVKaVP2lSKlyqpOr7Sze7lZK61Vr+d7/n3GcMxwUa2BSnJ8mGp1HGU504Yf2MKjjCL0i3KS55XbemyPAv2t/wDgqf8AszfAPwL4q0zwn8WPBPxA+MkWg6kvhHwd4NvbnxpbJ4iNvJBYr4h17wtZ6x4c8PizuWS5ubHXtUsr2aJBCLZkmyv863wg/Yd/af8A26fFVr8cfHGq2ej6J451nUtV8S/EpodBt57+OxmktJb7QfDWhJp9vc3l5qFvPG80kOkWm9ftSyytMou/Bv2DP2SdW/ah+M+naHcW1/ZfDDwkIfEfxL12zs52hg0eKQNp3hWwlRoY01vxfdRyaXaJHeRXVlpUOveILaG9j8PXduP7Nvhd8Kfhr8M9Hubb4deGbLwdo2sy29y/h3Q5Ly38OWt5bWhi87SfDyTPo+gvOkUQv/7GsLKPUZoFuLtZr95Jn+ixKePnGKk6VGEJTcYtVPfas1dJO0tL+nmj5bC1aOVQajF1KlRwXPKMk7Rkmkot2VtdZad33+D/AIQ+GNKPww0vSvEWlaNfXXhLxZ4g0W6sdU0qxntJLjQ/EV/p0VyNOujdxWyXMFsl3bWnzG3gmtovMby95+zfEOtG70TSdPt202KJxbQ29np6xxRRwRhFwLeL5IfLyFUKNgIOOABXhHi3wRex6vr97pLNp8OoeIdRbUreFSqCW5vXa2voQVUCVo3huHUxxo6SnZgKAItFtfFzyfZGdJotPjaZpobZoJZ3tldlRmVv3jPIMvs2nkfLkjd+PVK88BicThnTlzVKk1FxfaT67q7s7X0fRH9PUsDh8ywmW4/6zSk6WHpSamn7ilRpRtJRajJxm0uq6a9KPxT/AGbvDf7UfiCLwZq+papoFz4N0VdY03xPoJtJb/StX1G4tdJlsZrLULS90zV9N1rw/HrOn6tpuoW0sE1q0EqxxXUMEtr+Zf7W37BHxl/Y38R6N+0P+zK198RdFaS6sPHPge48Nf2tdaRd6nGdH07V7Lw3pks9z4k0K9u9ZuHltbaxkvvCupfZb9Tc6PeXZ0D+gD4JeFp/DEWt3upI63+oLprXMsgAkdolu55surBm4ufLVnwY3WSNSZdue5vfFWieKrfTr7wnqen6/pzl2TU9E1KDVLC4iEUiqIr3TpJoZVZ2WQNFNuIVQ7uoZW/R8iy+nDLKOIqUpLELn1fMkoTnGSi4J8rbd2ml287/AILxbnFSrxFjcHQxMauCjKjTspaSnRoxhO17uylF6X8nsf/Z">
          <a:extLst>
            <a:ext uri="{FF2B5EF4-FFF2-40B4-BE49-F238E27FC236}">
              <a16:creationId xmlns:a16="http://schemas.microsoft.com/office/drawing/2014/main" id="{24627488-849E-4C5D-8FFA-EB6CE2DFCC4F}"/>
            </a:ext>
          </a:extLst>
        </xdr:cNvPr>
        <xdr:cNvSpPr>
          <a:spLocks noChangeAspect="1" noChangeArrowheads="1"/>
        </xdr:cNvSpPr>
      </xdr:nvSpPr>
      <xdr:spPr bwMode="auto">
        <a:xfrm>
          <a:off x="32451675" y="8715375"/>
          <a:ext cx="302455" cy="302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0</xdr:row>
      <xdr:rowOff>0</xdr:rowOff>
    </xdr:from>
    <xdr:to>
      <xdr:col>2</xdr:col>
      <xdr:colOff>849</xdr:colOff>
      <xdr:row>1</xdr:row>
      <xdr:rowOff>311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BFAD8A29-FC03-408F-B6B2-AD75484B918F}"/>
            </a:ext>
          </a:extLst>
        </xdr:cNvPr>
        <xdr:cNvGrpSpPr>
          <a:grpSpLocks noChangeAspect="1"/>
        </xdr:cNvGrpSpPr>
      </xdr:nvGrpSpPr>
      <xdr:grpSpPr>
        <a:xfrm>
          <a:off x="318559" y="0"/>
          <a:ext cx="2825540" cy="1086161"/>
          <a:chOff x="1612437" y="2716012"/>
          <a:chExt cx="3352701" cy="1250465"/>
        </a:xfrm>
      </xdr:grpSpPr>
      <xdr:sp macro="" textlink="">
        <xdr:nvSpPr>
          <xdr:cNvPr id="3" name="Forma libre: forma 2">
            <a:extLst>
              <a:ext uri="{FF2B5EF4-FFF2-40B4-BE49-F238E27FC236}">
                <a16:creationId xmlns:a16="http://schemas.microsoft.com/office/drawing/2014/main" id="{F7F389EA-F74A-4B6D-81C8-DE9B1264D512}"/>
              </a:ext>
            </a:extLst>
          </xdr:cNvPr>
          <xdr:cNvSpPr/>
        </xdr:nvSpPr>
        <xdr:spPr>
          <a:xfrm>
            <a:off x="2678093" y="2910129"/>
            <a:ext cx="64661" cy="439347"/>
          </a:xfrm>
          <a:custGeom>
            <a:avLst/>
            <a:gdLst>
              <a:gd name="connsiteX0" fmla="*/ 0 w 64661"/>
              <a:gd name="connsiteY0" fmla="*/ 0 h 439347"/>
              <a:gd name="connsiteX1" fmla="*/ 64662 w 64661"/>
              <a:gd name="connsiteY1" fmla="*/ 0 h 439347"/>
              <a:gd name="connsiteX2" fmla="*/ 64662 w 64661"/>
              <a:gd name="connsiteY2" fmla="*/ 439347 h 439347"/>
              <a:gd name="connsiteX3" fmla="*/ 0 w 64661"/>
              <a:gd name="connsiteY3" fmla="*/ 439347 h 4393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64661" h="439347">
                <a:moveTo>
                  <a:pt x="0" y="0"/>
                </a:moveTo>
                <a:lnTo>
                  <a:pt x="64662" y="0"/>
                </a:lnTo>
                <a:lnTo>
                  <a:pt x="64662" y="439347"/>
                </a:lnTo>
                <a:lnTo>
                  <a:pt x="0" y="439347"/>
                </a:ln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4" name="Forma libre: forma 3">
            <a:extLst>
              <a:ext uri="{FF2B5EF4-FFF2-40B4-BE49-F238E27FC236}">
                <a16:creationId xmlns:a16="http://schemas.microsoft.com/office/drawing/2014/main" id="{B5B2B0CB-0790-4AD4-9142-A3393C2F2FF9}"/>
              </a:ext>
            </a:extLst>
          </xdr:cNvPr>
          <xdr:cNvSpPr/>
        </xdr:nvSpPr>
        <xdr:spPr>
          <a:xfrm>
            <a:off x="2800460" y="2910129"/>
            <a:ext cx="315733" cy="445649"/>
          </a:xfrm>
          <a:custGeom>
            <a:avLst/>
            <a:gdLst>
              <a:gd name="connsiteX0" fmla="*/ 243839 w 315733"/>
              <a:gd name="connsiteY0" fmla="*/ 135286 h 445649"/>
              <a:gd name="connsiteX1" fmla="*/ 169472 w 315733"/>
              <a:gd name="connsiteY1" fmla="*/ 114251 h 445649"/>
              <a:gd name="connsiteX2" fmla="*/ 108586 w 315733"/>
              <a:gd name="connsiteY2" fmla="*/ 128992 h 445649"/>
              <a:gd name="connsiteX3" fmla="*/ 67477 w 315733"/>
              <a:gd name="connsiteY3" fmla="*/ 167915 h 445649"/>
              <a:gd name="connsiteX4" fmla="*/ 61515 w 315733"/>
              <a:gd name="connsiteY4" fmla="*/ 177687 h 445649"/>
              <a:gd name="connsiteX5" fmla="*/ 61515 w 315733"/>
              <a:gd name="connsiteY5" fmla="*/ 0 h 445649"/>
              <a:gd name="connsiteX6" fmla="*/ 0 w 315733"/>
              <a:gd name="connsiteY6" fmla="*/ 0 h 445649"/>
              <a:gd name="connsiteX7" fmla="*/ 0 w 315733"/>
              <a:gd name="connsiteY7" fmla="*/ 439381 h 445649"/>
              <a:gd name="connsiteX8" fmla="*/ 61515 w 315733"/>
              <a:gd name="connsiteY8" fmla="*/ 439381 h 445649"/>
              <a:gd name="connsiteX9" fmla="*/ 61515 w 315733"/>
              <a:gd name="connsiteY9" fmla="*/ 382570 h 445649"/>
              <a:gd name="connsiteX10" fmla="*/ 67179 w 315733"/>
              <a:gd name="connsiteY10" fmla="*/ 391978 h 445649"/>
              <a:gd name="connsiteX11" fmla="*/ 108288 w 315733"/>
              <a:gd name="connsiteY11" fmla="*/ 430900 h 445649"/>
              <a:gd name="connsiteX12" fmla="*/ 169472 w 315733"/>
              <a:gd name="connsiteY12" fmla="*/ 445641 h 445649"/>
              <a:gd name="connsiteX13" fmla="*/ 227210 w 315733"/>
              <a:gd name="connsiteY13" fmla="*/ 433418 h 445649"/>
              <a:gd name="connsiteX14" fmla="*/ 273354 w 315733"/>
              <a:gd name="connsiteY14" fmla="*/ 399199 h 445649"/>
              <a:gd name="connsiteX15" fmla="*/ 304426 w 315733"/>
              <a:gd name="connsiteY15" fmla="*/ 346794 h 445649"/>
              <a:gd name="connsiteX16" fmla="*/ 315722 w 315733"/>
              <a:gd name="connsiteY16" fmla="*/ 279946 h 445649"/>
              <a:gd name="connsiteX17" fmla="*/ 296277 w 315733"/>
              <a:gd name="connsiteY17" fmla="*/ 193819 h 445649"/>
              <a:gd name="connsiteX18" fmla="*/ 243839 w 315733"/>
              <a:gd name="connsiteY18" fmla="*/ 135286 h 445649"/>
              <a:gd name="connsiteX19" fmla="*/ 245727 w 315733"/>
              <a:gd name="connsiteY19" fmla="*/ 326090 h 445649"/>
              <a:gd name="connsiteX20" fmla="*/ 225553 w 315733"/>
              <a:gd name="connsiteY20" fmla="*/ 360905 h 445649"/>
              <a:gd name="connsiteX21" fmla="*/ 195111 w 315733"/>
              <a:gd name="connsiteY21" fmla="*/ 382868 h 445649"/>
              <a:gd name="connsiteX22" fmla="*/ 156188 w 315733"/>
              <a:gd name="connsiteY22" fmla="*/ 390421 h 445649"/>
              <a:gd name="connsiteX23" fmla="*/ 87154 w 315733"/>
              <a:gd name="connsiteY23" fmla="*/ 361237 h 445649"/>
              <a:gd name="connsiteX24" fmla="*/ 60156 w 315733"/>
              <a:gd name="connsiteY24" fmla="*/ 279946 h 445649"/>
              <a:gd name="connsiteX25" fmla="*/ 67378 w 315733"/>
              <a:gd name="connsiteY25" fmla="*/ 233570 h 445649"/>
              <a:gd name="connsiteX26" fmla="*/ 87452 w 315733"/>
              <a:gd name="connsiteY26" fmla="*/ 199053 h 445649"/>
              <a:gd name="connsiteX27" fmla="*/ 117895 w 315733"/>
              <a:gd name="connsiteY27" fmla="*/ 177389 h 445649"/>
              <a:gd name="connsiteX28" fmla="*/ 156188 w 315733"/>
              <a:gd name="connsiteY28" fmla="*/ 170167 h 445649"/>
              <a:gd name="connsiteX29" fmla="*/ 225752 w 315733"/>
              <a:gd name="connsiteY29" fmla="*/ 199053 h 445649"/>
              <a:gd name="connsiteX30" fmla="*/ 252750 w 315733"/>
              <a:gd name="connsiteY30" fmla="*/ 280012 h 445649"/>
              <a:gd name="connsiteX31" fmla="*/ 245727 w 315733"/>
              <a:gd name="connsiteY31" fmla="*/ 326090 h 4456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315733" h="445649">
                <a:moveTo>
                  <a:pt x="243839" y="135286"/>
                </a:moveTo>
                <a:cubicBezTo>
                  <a:pt x="221621" y="121191"/>
                  <a:pt x="195780" y="113883"/>
                  <a:pt x="169472" y="114251"/>
                </a:cubicBezTo>
                <a:cubicBezTo>
                  <a:pt x="145621" y="114251"/>
                  <a:pt x="125325" y="119163"/>
                  <a:pt x="108586" y="128992"/>
                </a:cubicBezTo>
                <a:cubicBezTo>
                  <a:pt x="92070" y="138628"/>
                  <a:pt x="78001" y="151948"/>
                  <a:pt x="67477" y="167915"/>
                </a:cubicBezTo>
                <a:cubicBezTo>
                  <a:pt x="65390" y="171227"/>
                  <a:pt x="63403" y="174374"/>
                  <a:pt x="61515" y="177687"/>
                </a:cubicBezTo>
                <a:lnTo>
                  <a:pt x="61515" y="0"/>
                </a:lnTo>
                <a:lnTo>
                  <a:pt x="0" y="0"/>
                </a:lnTo>
                <a:lnTo>
                  <a:pt x="0" y="439381"/>
                </a:lnTo>
                <a:lnTo>
                  <a:pt x="61515" y="439381"/>
                </a:lnTo>
                <a:lnTo>
                  <a:pt x="61515" y="382570"/>
                </a:lnTo>
                <a:cubicBezTo>
                  <a:pt x="63303" y="385882"/>
                  <a:pt x="65192" y="388930"/>
                  <a:pt x="67179" y="391978"/>
                </a:cubicBezTo>
                <a:cubicBezTo>
                  <a:pt x="77571" y="408053"/>
                  <a:pt x="91669" y="421400"/>
                  <a:pt x="108288" y="430900"/>
                </a:cubicBezTo>
                <a:cubicBezTo>
                  <a:pt x="125206" y="440729"/>
                  <a:pt x="145598" y="445641"/>
                  <a:pt x="169472" y="445641"/>
                </a:cubicBezTo>
                <a:cubicBezTo>
                  <a:pt x="189383" y="445860"/>
                  <a:pt x="209097" y="441686"/>
                  <a:pt x="227210" y="433418"/>
                </a:cubicBezTo>
                <a:cubicBezTo>
                  <a:pt x="244756" y="425262"/>
                  <a:pt x="260455" y="413622"/>
                  <a:pt x="273354" y="399199"/>
                </a:cubicBezTo>
                <a:cubicBezTo>
                  <a:pt x="286955" y="383872"/>
                  <a:pt x="297503" y="366083"/>
                  <a:pt x="304426" y="346794"/>
                </a:cubicBezTo>
                <a:cubicBezTo>
                  <a:pt x="312148" y="325362"/>
                  <a:pt x="315974" y="302723"/>
                  <a:pt x="315722" y="279946"/>
                </a:cubicBezTo>
                <a:cubicBezTo>
                  <a:pt x="315722" y="247307"/>
                  <a:pt x="309239" y="218597"/>
                  <a:pt x="296277" y="193819"/>
                </a:cubicBezTo>
                <a:cubicBezTo>
                  <a:pt x="284338" y="169975"/>
                  <a:pt x="266232" y="149765"/>
                  <a:pt x="243839" y="135286"/>
                </a:cubicBezTo>
                <a:close/>
                <a:moveTo>
                  <a:pt x="245727" y="326090"/>
                </a:moveTo>
                <a:cubicBezTo>
                  <a:pt x="241348" y="338907"/>
                  <a:pt x="234494" y="350736"/>
                  <a:pt x="225553" y="360905"/>
                </a:cubicBezTo>
                <a:cubicBezTo>
                  <a:pt x="217173" y="370406"/>
                  <a:pt x="206771" y="377909"/>
                  <a:pt x="195111" y="382868"/>
                </a:cubicBezTo>
                <a:cubicBezTo>
                  <a:pt x="182791" y="388022"/>
                  <a:pt x="169541" y="390593"/>
                  <a:pt x="156188" y="390421"/>
                </a:cubicBezTo>
                <a:cubicBezTo>
                  <a:pt x="128164" y="390421"/>
                  <a:pt x="105151" y="380692"/>
                  <a:pt x="87154" y="361237"/>
                </a:cubicBezTo>
                <a:cubicBezTo>
                  <a:pt x="69157" y="341782"/>
                  <a:pt x="60156" y="314685"/>
                  <a:pt x="60156" y="279946"/>
                </a:cubicBezTo>
                <a:cubicBezTo>
                  <a:pt x="59885" y="264188"/>
                  <a:pt x="62326" y="248500"/>
                  <a:pt x="67378" y="233570"/>
                </a:cubicBezTo>
                <a:cubicBezTo>
                  <a:pt x="71780" y="220876"/>
                  <a:pt x="78598" y="209156"/>
                  <a:pt x="87452" y="199053"/>
                </a:cubicBezTo>
                <a:cubicBezTo>
                  <a:pt x="95800" y="189586"/>
                  <a:pt x="106215" y="182172"/>
                  <a:pt x="117895" y="177389"/>
                </a:cubicBezTo>
                <a:cubicBezTo>
                  <a:pt x="130062" y="172496"/>
                  <a:pt x="143074" y="170041"/>
                  <a:pt x="156188" y="170167"/>
                </a:cubicBezTo>
                <a:cubicBezTo>
                  <a:pt x="184653" y="170167"/>
                  <a:pt x="207841" y="179797"/>
                  <a:pt x="225752" y="199053"/>
                </a:cubicBezTo>
                <a:cubicBezTo>
                  <a:pt x="243663" y="218309"/>
                  <a:pt x="252660" y="245296"/>
                  <a:pt x="252750" y="280012"/>
                </a:cubicBezTo>
                <a:cubicBezTo>
                  <a:pt x="253038" y="295658"/>
                  <a:pt x="250663" y="311240"/>
                  <a:pt x="245727" y="326090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5" name="Forma libre: forma 4">
            <a:extLst>
              <a:ext uri="{FF2B5EF4-FFF2-40B4-BE49-F238E27FC236}">
                <a16:creationId xmlns:a16="http://schemas.microsoft.com/office/drawing/2014/main" id="{889666AC-9B8A-4D92-9EDA-EA9FFF1B08FD}"/>
              </a:ext>
            </a:extLst>
          </xdr:cNvPr>
          <xdr:cNvSpPr/>
        </xdr:nvSpPr>
        <xdr:spPr>
          <a:xfrm>
            <a:off x="3142830" y="3024358"/>
            <a:ext cx="300668" cy="332072"/>
          </a:xfrm>
          <a:custGeom>
            <a:avLst/>
            <a:gdLst>
              <a:gd name="connsiteX0" fmla="*/ 229116 w 300668"/>
              <a:gd name="connsiteY0" fmla="*/ 20427 h 332072"/>
              <a:gd name="connsiteX1" fmla="*/ 153159 w 300668"/>
              <a:gd name="connsiteY1" fmla="*/ 21 h 332072"/>
              <a:gd name="connsiteX2" fmla="*/ 91346 w 300668"/>
              <a:gd name="connsiteY2" fmla="*/ 11615 h 332072"/>
              <a:gd name="connsiteX3" fmla="*/ 42717 w 300668"/>
              <a:gd name="connsiteY3" fmla="*/ 45304 h 332072"/>
              <a:gd name="connsiteX4" fmla="*/ 11016 w 300668"/>
              <a:gd name="connsiteY4" fmla="*/ 97709 h 332072"/>
              <a:gd name="connsiteX5" fmla="*/ 18 w 300668"/>
              <a:gd name="connsiteY5" fmla="*/ 165816 h 332072"/>
              <a:gd name="connsiteX6" fmla="*/ 20093 w 300668"/>
              <a:gd name="connsiteY6" fmla="*/ 252738 h 332072"/>
              <a:gd name="connsiteX7" fmla="*/ 75313 w 300668"/>
              <a:gd name="connsiteY7" fmla="*/ 311006 h 332072"/>
              <a:gd name="connsiteX8" fmla="*/ 156273 w 300668"/>
              <a:gd name="connsiteY8" fmla="*/ 332041 h 332072"/>
              <a:gd name="connsiteX9" fmla="*/ 209937 w 300668"/>
              <a:gd name="connsiteY9" fmla="*/ 324190 h 332072"/>
              <a:gd name="connsiteX10" fmla="*/ 257638 w 300668"/>
              <a:gd name="connsiteY10" fmla="*/ 298485 h 332072"/>
              <a:gd name="connsiteX11" fmla="*/ 295004 w 300668"/>
              <a:gd name="connsiteY11" fmla="*/ 252340 h 332072"/>
              <a:gd name="connsiteX12" fmla="*/ 247302 w 300668"/>
              <a:gd name="connsiteY12" fmla="*/ 222825 h 332072"/>
              <a:gd name="connsiteX13" fmla="*/ 223452 w 300668"/>
              <a:gd name="connsiteY13" fmla="*/ 254527 h 332072"/>
              <a:gd name="connsiteX14" fmla="*/ 192678 w 300668"/>
              <a:gd name="connsiteY14" fmla="*/ 272116 h 332072"/>
              <a:gd name="connsiteX15" fmla="*/ 156240 w 300668"/>
              <a:gd name="connsiteY15" fmla="*/ 277450 h 332072"/>
              <a:gd name="connsiteX16" fmla="*/ 107909 w 300668"/>
              <a:gd name="connsiteY16" fmla="*/ 264895 h 332072"/>
              <a:gd name="connsiteX17" fmla="*/ 74386 w 300668"/>
              <a:gd name="connsiteY17" fmla="*/ 227496 h 332072"/>
              <a:gd name="connsiteX18" fmla="*/ 62692 w 300668"/>
              <a:gd name="connsiteY18" fmla="*/ 180126 h 332072"/>
              <a:gd name="connsiteX19" fmla="*/ 300039 w 300668"/>
              <a:gd name="connsiteY19" fmla="*/ 180126 h 332072"/>
              <a:gd name="connsiteX20" fmla="*/ 300668 w 300668"/>
              <a:gd name="connsiteY20" fmla="*/ 171348 h 332072"/>
              <a:gd name="connsiteX21" fmla="*/ 300668 w 300668"/>
              <a:gd name="connsiteY21" fmla="*/ 163166 h 332072"/>
              <a:gd name="connsiteX22" fmla="*/ 281521 w 300668"/>
              <a:gd name="connsiteY22" fmla="*/ 77502 h 332072"/>
              <a:gd name="connsiteX23" fmla="*/ 229116 w 300668"/>
              <a:gd name="connsiteY23" fmla="*/ 20427 h 332072"/>
              <a:gd name="connsiteX24" fmla="*/ 86311 w 300668"/>
              <a:gd name="connsiteY24" fmla="*/ 81312 h 332072"/>
              <a:gd name="connsiteX25" fmla="*/ 114899 w 300668"/>
              <a:gd name="connsiteY25" fmla="*/ 59316 h 332072"/>
              <a:gd name="connsiteX26" fmla="*/ 152529 w 300668"/>
              <a:gd name="connsiteY26" fmla="*/ 52128 h 332072"/>
              <a:gd name="connsiteX27" fmla="*/ 214442 w 300668"/>
              <a:gd name="connsiteY27" fmla="*/ 79722 h 332072"/>
              <a:gd name="connsiteX28" fmla="*/ 236603 w 300668"/>
              <a:gd name="connsiteY28" fmla="*/ 134346 h 332072"/>
              <a:gd name="connsiteX29" fmla="*/ 64514 w 300668"/>
              <a:gd name="connsiteY29" fmla="*/ 134346 h 332072"/>
              <a:gd name="connsiteX30" fmla="*/ 68423 w 300668"/>
              <a:gd name="connsiteY30" fmla="*/ 117088 h 332072"/>
              <a:gd name="connsiteX31" fmla="*/ 86311 w 300668"/>
              <a:gd name="connsiteY31" fmla="*/ 81312 h 33207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300668" h="332072">
                <a:moveTo>
                  <a:pt x="229116" y="20427"/>
                </a:moveTo>
                <a:cubicBezTo>
                  <a:pt x="206213" y="6630"/>
                  <a:pt x="179891" y="-439"/>
                  <a:pt x="153159" y="21"/>
                </a:cubicBezTo>
                <a:cubicBezTo>
                  <a:pt x="131991" y="-244"/>
                  <a:pt x="110980" y="3698"/>
                  <a:pt x="91346" y="11615"/>
                </a:cubicBezTo>
                <a:cubicBezTo>
                  <a:pt x="72922" y="19251"/>
                  <a:pt x="56339" y="30735"/>
                  <a:pt x="42717" y="45304"/>
                </a:cubicBezTo>
                <a:cubicBezTo>
                  <a:pt x="28636" y="60390"/>
                  <a:pt x="17843" y="78234"/>
                  <a:pt x="11016" y="97709"/>
                </a:cubicBezTo>
                <a:cubicBezTo>
                  <a:pt x="3427" y="119602"/>
                  <a:pt x="-296" y="142648"/>
                  <a:pt x="18" y="165816"/>
                </a:cubicBezTo>
                <a:cubicBezTo>
                  <a:pt x="18" y="198942"/>
                  <a:pt x="6710" y="227917"/>
                  <a:pt x="20093" y="252738"/>
                </a:cubicBezTo>
                <a:cubicBezTo>
                  <a:pt x="32800" y="276863"/>
                  <a:pt x="51903" y="297024"/>
                  <a:pt x="75313" y="311006"/>
                </a:cubicBezTo>
                <a:cubicBezTo>
                  <a:pt x="99849" y="325336"/>
                  <a:pt x="127864" y="332614"/>
                  <a:pt x="156273" y="332041"/>
                </a:cubicBezTo>
                <a:cubicBezTo>
                  <a:pt x="174449" y="332077"/>
                  <a:pt x="192532" y="329431"/>
                  <a:pt x="209937" y="324190"/>
                </a:cubicBezTo>
                <a:cubicBezTo>
                  <a:pt x="227407" y="318923"/>
                  <a:pt x="243632" y="310181"/>
                  <a:pt x="257638" y="298485"/>
                </a:cubicBezTo>
                <a:cubicBezTo>
                  <a:pt x="272872" y="285579"/>
                  <a:pt x="285546" y="269927"/>
                  <a:pt x="295004" y="252340"/>
                </a:cubicBezTo>
                <a:lnTo>
                  <a:pt x="247302" y="222825"/>
                </a:lnTo>
                <a:cubicBezTo>
                  <a:pt x="241370" y="234767"/>
                  <a:pt x="233283" y="245516"/>
                  <a:pt x="223452" y="254527"/>
                </a:cubicBezTo>
                <a:cubicBezTo>
                  <a:pt x="214561" y="262510"/>
                  <a:pt x="204070" y="268506"/>
                  <a:pt x="192678" y="272116"/>
                </a:cubicBezTo>
                <a:cubicBezTo>
                  <a:pt x="180875" y="275740"/>
                  <a:pt x="168585" y="277539"/>
                  <a:pt x="156240" y="277450"/>
                </a:cubicBezTo>
                <a:cubicBezTo>
                  <a:pt x="139289" y="277728"/>
                  <a:pt x="122580" y="273388"/>
                  <a:pt x="107909" y="264895"/>
                </a:cubicBezTo>
                <a:cubicBezTo>
                  <a:pt x="93274" y="256027"/>
                  <a:pt x="81607" y="243009"/>
                  <a:pt x="74386" y="227496"/>
                </a:cubicBezTo>
                <a:cubicBezTo>
                  <a:pt x="67472" y="212606"/>
                  <a:pt x="63504" y="196523"/>
                  <a:pt x="62692" y="180126"/>
                </a:cubicBezTo>
                <a:lnTo>
                  <a:pt x="300039" y="180126"/>
                </a:lnTo>
                <a:cubicBezTo>
                  <a:pt x="300463" y="177218"/>
                  <a:pt x="300671" y="174286"/>
                  <a:pt x="300668" y="171348"/>
                </a:cubicBezTo>
                <a:lnTo>
                  <a:pt x="300668" y="163166"/>
                </a:lnTo>
                <a:cubicBezTo>
                  <a:pt x="300668" y="130527"/>
                  <a:pt x="294285" y="101972"/>
                  <a:pt x="281521" y="77502"/>
                </a:cubicBezTo>
                <a:cubicBezTo>
                  <a:pt x="269652" y="54006"/>
                  <a:pt x="251516" y="34253"/>
                  <a:pt x="229116" y="20427"/>
                </a:cubicBezTo>
                <a:close/>
                <a:moveTo>
                  <a:pt x="86311" y="81312"/>
                </a:moveTo>
                <a:cubicBezTo>
                  <a:pt x="93811" y="71666"/>
                  <a:pt x="103652" y="64093"/>
                  <a:pt x="114899" y="59316"/>
                </a:cubicBezTo>
                <a:cubicBezTo>
                  <a:pt x="126827" y="54397"/>
                  <a:pt x="139627" y="51952"/>
                  <a:pt x="152529" y="52128"/>
                </a:cubicBezTo>
                <a:cubicBezTo>
                  <a:pt x="176277" y="51485"/>
                  <a:pt x="199041" y="61628"/>
                  <a:pt x="214442" y="79722"/>
                </a:cubicBezTo>
                <a:cubicBezTo>
                  <a:pt x="225946" y="92972"/>
                  <a:pt x="233333" y="111181"/>
                  <a:pt x="236603" y="134346"/>
                </a:cubicBezTo>
                <a:lnTo>
                  <a:pt x="64514" y="134346"/>
                </a:lnTo>
                <a:cubicBezTo>
                  <a:pt x="65458" y="128516"/>
                  <a:pt x="66764" y="122752"/>
                  <a:pt x="68423" y="117088"/>
                </a:cubicBezTo>
                <a:cubicBezTo>
                  <a:pt x="72090" y="104145"/>
                  <a:pt x="78159" y="92011"/>
                  <a:pt x="86311" y="81312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6" name="Forma libre: forma 5">
            <a:extLst>
              <a:ext uri="{FF2B5EF4-FFF2-40B4-BE49-F238E27FC236}">
                <a16:creationId xmlns:a16="http://schemas.microsoft.com/office/drawing/2014/main" id="{3B76AE30-6361-46EA-9F19-64E0F0E0E3AB}"/>
              </a:ext>
            </a:extLst>
          </xdr:cNvPr>
          <xdr:cNvSpPr/>
        </xdr:nvSpPr>
        <xdr:spPr>
          <a:xfrm>
            <a:off x="3483149" y="3024369"/>
            <a:ext cx="166225" cy="325140"/>
          </a:xfrm>
          <a:custGeom>
            <a:avLst/>
            <a:gdLst>
              <a:gd name="connsiteX0" fmla="*/ 166225 w 166225"/>
              <a:gd name="connsiteY0" fmla="*/ 11 h 325140"/>
              <a:gd name="connsiteX1" fmla="*/ 148006 w 166225"/>
              <a:gd name="connsiteY1" fmla="*/ 11 h 325140"/>
              <a:gd name="connsiteX2" fmla="*/ 97489 w 166225"/>
              <a:gd name="connsiteY2" fmla="*/ 14454 h 325140"/>
              <a:gd name="connsiteX3" fmla="*/ 61382 w 166225"/>
              <a:gd name="connsiteY3" fmla="*/ 58544 h 325140"/>
              <a:gd name="connsiteX4" fmla="*/ 61382 w 166225"/>
              <a:gd name="connsiteY4" fmla="*/ 6271 h 325140"/>
              <a:gd name="connsiteX5" fmla="*/ 0 w 166225"/>
              <a:gd name="connsiteY5" fmla="*/ 6271 h 325140"/>
              <a:gd name="connsiteX6" fmla="*/ 0 w 166225"/>
              <a:gd name="connsiteY6" fmla="*/ 325140 h 325140"/>
              <a:gd name="connsiteX7" fmla="*/ 61481 w 166225"/>
              <a:gd name="connsiteY7" fmla="*/ 325140 h 325140"/>
              <a:gd name="connsiteX8" fmla="*/ 61481 w 166225"/>
              <a:gd name="connsiteY8" fmla="*/ 155039 h 325140"/>
              <a:gd name="connsiteX9" fmla="*/ 82218 w 166225"/>
              <a:gd name="connsiteY9" fmla="*/ 89748 h 325140"/>
              <a:gd name="connsiteX10" fmla="*/ 134822 w 166225"/>
              <a:gd name="connsiteY10" fmla="*/ 65169 h 325140"/>
              <a:gd name="connsiteX11" fmla="*/ 166225 w 166225"/>
              <a:gd name="connsiteY11" fmla="*/ 65169 h 32514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66225" h="325140">
                <a:moveTo>
                  <a:pt x="166225" y="11"/>
                </a:moveTo>
                <a:lnTo>
                  <a:pt x="148006" y="11"/>
                </a:lnTo>
                <a:cubicBezTo>
                  <a:pt x="130112" y="-264"/>
                  <a:pt x="112535" y="4761"/>
                  <a:pt x="97489" y="14454"/>
                </a:cubicBezTo>
                <a:cubicBezTo>
                  <a:pt x="82626" y="23971"/>
                  <a:pt x="70591" y="38669"/>
                  <a:pt x="61382" y="58544"/>
                </a:cubicBezTo>
                <a:lnTo>
                  <a:pt x="61382" y="6271"/>
                </a:lnTo>
                <a:lnTo>
                  <a:pt x="0" y="6271"/>
                </a:lnTo>
                <a:lnTo>
                  <a:pt x="0" y="325140"/>
                </a:lnTo>
                <a:lnTo>
                  <a:pt x="61481" y="325140"/>
                </a:lnTo>
                <a:lnTo>
                  <a:pt x="61481" y="155039"/>
                </a:lnTo>
                <a:cubicBezTo>
                  <a:pt x="61481" y="127853"/>
                  <a:pt x="68395" y="106089"/>
                  <a:pt x="82218" y="89748"/>
                </a:cubicBezTo>
                <a:cubicBezTo>
                  <a:pt x="95038" y="73898"/>
                  <a:pt x="114440" y="64835"/>
                  <a:pt x="134822" y="65169"/>
                </a:cubicBezTo>
                <a:lnTo>
                  <a:pt x="166225" y="65169"/>
                </a:ln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7" name="Forma libre: forma 6">
            <a:extLst>
              <a:ext uri="{FF2B5EF4-FFF2-40B4-BE49-F238E27FC236}">
                <a16:creationId xmlns:a16="http://schemas.microsoft.com/office/drawing/2014/main" id="{3C13C213-95F9-458F-BBAA-9C9369A59B4B}"/>
              </a:ext>
            </a:extLst>
          </xdr:cNvPr>
          <xdr:cNvSpPr/>
        </xdr:nvSpPr>
        <xdr:spPr>
          <a:xfrm>
            <a:off x="3649423" y="2910129"/>
            <a:ext cx="314944" cy="445553"/>
          </a:xfrm>
          <a:custGeom>
            <a:avLst/>
            <a:gdLst>
              <a:gd name="connsiteX0" fmla="*/ 253496 w 314944"/>
              <a:gd name="connsiteY0" fmla="*/ 177687 h 445553"/>
              <a:gd name="connsiteX1" fmla="*/ 247534 w 314944"/>
              <a:gd name="connsiteY1" fmla="*/ 167915 h 445553"/>
              <a:gd name="connsiteX2" fmla="*/ 206425 w 314944"/>
              <a:gd name="connsiteY2" fmla="*/ 128992 h 445553"/>
              <a:gd name="connsiteX3" fmla="*/ 146169 w 314944"/>
              <a:gd name="connsiteY3" fmla="*/ 114251 h 445553"/>
              <a:gd name="connsiteX4" fmla="*/ 88133 w 314944"/>
              <a:gd name="connsiteY4" fmla="*/ 126176 h 445553"/>
              <a:gd name="connsiteX5" fmla="*/ 41756 w 314944"/>
              <a:gd name="connsiteY5" fmla="*/ 160395 h 445553"/>
              <a:gd name="connsiteX6" fmla="*/ 10983 w 314944"/>
              <a:gd name="connsiteY6" fmla="*/ 212800 h 445553"/>
              <a:gd name="connsiteX7" fmla="*/ 18 w 314944"/>
              <a:gd name="connsiteY7" fmla="*/ 279946 h 445553"/>
              <a:gd name="connsiteX8" fmla="*/ 19132 w 314944"/>
              <a:gd name="connsiteY8" fmla="*/ 366239 h 445553"/>
              <a:gd name="connsiteX9" fmla="*/ 71504 w 314944"/>
              <a:gd name="connsiteY9" fmla="*/ 424540 h 445553"/>
              <a:gd name="connsiteX10" fmla="*/ 146169 w 314944"/>
              <a:gd name="connsiteY10" fmla="*/ 445542 h 445553"/>
              <a:gd name="connsiteX11" fmla="*/ 206756 w 314944"/>
              <a:gd name="connsiteY11" fmla="*/ 430801 h 445553"/>
              <a:gd name="connsiteX12" fmla="*/ 247799 w 314944"/>
              <a:gd name="connsiteY12" fmla="*/ 391978 h 445553"/>
              <a:gd name="connsiteX13" fmla="*/ 253430 w 314944"/>
              <a:gd name="connsiteY13" fmla="*/ 382570 h 445553"/>
              <a:gd name="connsiteX14" fmla="*/ 253430 w 314944"/>
              <a:gd name="connsiteY14" fmla="*/ 439381 h 445553"/>
              <a:gd name="connsiteX15" fmla="*/ 314945 w 314944"/>
              <a:gd name="connsiteY15" fmla="*/ 439381 h 445553"/>
              <a:gd name="connsiteX16" fmla="*/ 314945 w 314944"/>
              <a:gd name="connsiteY16" fmla="*/ 0 h 445553"/>
              <a:gd name="connsiteX17" fmla="*/ 253496 w 314944"/>
              <a:gd name="connsiteY17" fmla="*/ 0 h 445553"/>
              <a:gd name="connsiteX18" fmla="*/ 228089 w 314944"/>
              <a:gd name="connsiteY18" fmla="*/ 360905 h 445553"/>
              <a:gd name="connsiteX19" fmla="*/ 197348 w 314944"/>
              <a:gd name="connsiteY19" fmla="*/ 382868 h 445553"/>
              <a:gd name="connsiteX20" fmla="*/ 158724 w 314944"/>
              <a:gd name="connsiteY20" fmla="*/ 390421 h 445553"/>
              <a:gd name="connsiteX21" fmla="*/ 89159 w 314944"/>
              <a:gd name="connsiteY21" fmla="*/ 361237 h 445553"/>
              <a:gd name="connsiteX22" fmla="*/ 62162 w 314944"/>
              <a:gd name="connsiteY22" fmla="*/ 279946 h 445553"/>
              <a:gd name="connsiteX23" fmla="*/ 69383 w 314944"/>
              <a:gd name="connsiteY23" fmla="*/ 233570 h 445553"/>
              <a:gd name="connsiteX24" fmla="*/ 89491 w 314944"/>
              <a:gd name="connsiteY24" fmla="*/ 199053 h 445553"/>
              <a:gd name="connsiteX25" fmla="*/ 119933 w 314944"/>
              <a:gd name="connsiteY25" fmla="*/ 177389 h 445553"/>
              <a:gd name="connsiteX26" fmla="*/ 158823 w 314944"/>
              <a:gd name="connsiteY26" fmla="*/ 170167 h 445553"/>
              <a:gd name="connsiteX27" fmla="*/ 227890 w 314944"/>
              <a:gd name="connsiteY27" fmla="*/ 199053 h 445553"/>
              <a:gd name="connsiteX28" fmla="*/ 254855 w 314944"/>
              <a:gd name="connsiteY28" fmla="*/ 280012 h 445553"/>
              <a:gd name="connsiteX29" fmla="*/ 247799 w 314944"/>
              <a:gd name="connsiteY29" fmla="*/ 326090 h 445553"/>
              <a:gd name="connsiteX30" fmla="*/ 228089 w 314944"/>
              <a:gd name="connsiteY30" fmla="*/ 360905 h 4455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</a:cxnLst>
            <a:rect l="l" t="t" r="r" b="b"/>
            <a:pathLst>
              <a:path w="314944" h="445553">
                <a:moveTo>
                  <a:pt x="253496" y="177687"/>
                </a:moveTo>
                <a:cubicBezTo>
                  <a:pt x="251608" y="174374"/>
                  <a:pt x="249654" y="171062"/>
                  <a:pt x="247534" y="167915"/>
                </a:cubicBezTo>
                <a:cubicBezTo>
                  <a:pt x="237010" y="151948"/>
                  <a:pt x="222941" y="138628"/>
                  <a:pt x="206425" y="128992"/>
                </a:cubicBezTo>
                <a:cubicBezTo>
                  <a:pt x="189706" y="119144"/>
                  <a:pt x="169622" y="114228"/>
                  <a:pt x="146169" y="114251"/>
                </a:cubicBezTo>
                <a:cubicBezTo>
                  <a:pt x="126194" y="114055"/>
                  <a:pt x="106411" y="118120"/>
                  <a:pt x="88133" y="126176"/>
                </a:cubicBezTo>
                <a:cubicBezTo>
                  <a:pt x="70394" y="134113"/>
                  <a:pt x="54573" y="145787"/>
                  <a:pt x="41756" y="160395"/>
                </a:cubicBezTo>
                <a:cubicBezTo>
                  <a:pt x="28261" y="175749"/>
                  <a:pt x="17817" y="193534"/>
                  <a:pt x="10983" y="212800"/>
                </a:cubicBezTo>
                <a:cubicBezTo>
                  <a:pt x="3420" y="234365"/>
                  <a:pt x="-293" y="257096"/>
                  <a:pt x="18" y="279946"/>
                </a:cubicBezTo>
                <a:cubicBezTo>
                  <a:pt x="18" y="312585"/>
                  <a:pt x="6388" y="341351"/>
                  <a:pt x="19132" y="366239"/>
                </a:cubicBezTo>
                <a:cubicBezTo>
                  <a:pt x="30977" y="390063"/>
                  <a:pt x="49081" y="410217"/>
                  <a:pt x="71504" y="424540"/>
                </a:cubicBezTo>
                <a:cubicBezTo>
                  <a:pt x="93847" y="438595"/>
                  <a:pt x="119774" y="445890"/>
                  <a:pt x="146169" y="445542"/>
                </a:cubicBezTo>
                <a:cubicBezTo>
                  <a:pt x="169622" y="445542"/>
                  <a:pt x="189819" y="440629"/>
                  <a:pt x="206756" y="430801"/>
                </a:cubicBezTo>
                <a:cubicBezTo>
                  <a:pt x="223326" y="421304"/>
                  <a:pt x="237394" y="407994"/>
                  <a:pt x="247799" y="391978"/>
                </a:cubicBezTo>
                <a:cubicBezTo>
                  <a:pt x="249786" y="388930"/>
                  <a:pt x="251641" y="385783"/>
                  <a:pt x="253430" y="382570"/>
                </a:cubicBezTo>
                <a:lnTo>
                  <a:pt x="253430" y="439381"/>
                </a:lnTo>
                <a:lnTo>
                  <a:pt x="314945" y="439381"/>
                </a:lnTo>
                <a:lnTo>
                  <a:pt x="314945" y="0"/>
                </a:lnTo>
                <a:lnTo>
                  <a:pt x="253496" y="0"/>
                </a:lnTo>
                <a:close/>
                <a:moveTo>
                  <a:pt x="228089" y="360905"/>
                </a:moveTo>
                <a:cubicBezTo>
                  <a:pt x="219635" y="370459"/>
                  <a:pt x="209125" y="377969"/>
                  <a:pt x="197348" y="382868"/>
                </a:cubicBezTo>
                <a:cubicBezTo>
                  <a:pt x="185115" y="387963"/>
                  <a:pt x="171977" y="390533"/>
                  <a:pt x="158724" y="390421"/>
                </a:cubicBezTo>
                <a:cubicBezTo>
                  <a:pt x="130259" y="390421"/>
                  <a:pt x="107071" y="380692"/>
                  <a:pt x="89159" y="361237"/>
                </a:cubicBezTo>
                <a:cubicBezTo>
                  <a:pt x="71248" y="341782"/>
                  <a:pt x="62251" y="314685"/>
                  <a:pt x="62162" y="279946"/>
                </a:cubicBezTo>
                <a:cubicBezTo>
                  <a:pt x="61890" y="264188"/>
                  <a:pt x="64332" y="248500"/>
                  <a:pt x="69383" y="233570"/>
                </a:cubicBezTo>
                <a:cubicBezTo>
                  <a:pt x="73799" y="220876"/>
                  <a:pt x="80626" y="209156"/>
                  <a:pt x="89491" y="199053"/>
                </a:cubicBezTo>
                <a:cubicBezTo>
                  <a:pt x="97825" y="189572"/>
                  <a:pt x="108247" y="182155"/>
                  <a:pt x="119933" y="177389"/>
                </a:cubicBezTo>
                <a:cubicBezTo>
                  <a:pt x="132299" y="172456"/>
                  <a:pt x="145513" y="170002"/>
                  <a:pt x="158823" y="170167"/>
                </a:cubicBezTo>
                <a:cubicBezTo>
                  <a:pt x="186847" y="170167"/>
                  <a:pt x="209870" y="179797"/>
                  <a:pt x="227890" y="199053"/>
                </a:cubicBezTo>
                <a:cubicBezTo>
                  <a:pt x="245911" y="218309"/>
                  <a:pt x="254898" y="245296"/>
                  <a:pt x="254855" y="280012"/>
                </a:cubicBezTo>
                <a:cubicBezTo>
                  <a:pt x="255027" y="295654"/>
                  <a:pt x="252645" y="311217"/>
                  <a:pt x="247799" y="326090"/>
                </a:cubicBezTo>
                <a:cubicBezTo>
                  <a:pt x="243658" y="338910"/>
                  <a:pt x="236950" y="350756"/>
                  <a:pt x="228089" y="360905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8" name="Forma libre: forma 7">
            <a:extLst>
              <a:ext uri="{FF2B5EF4-FFF2-40B4-BE49-F238E27FC236}">
                <a16:creationId xmlns:a16="http://schemas.microsoft.com/office/drawing/2014/main" id="{66366F17-3BB3-4540-8309-8031F9FFBAEE}"/>
              </a:ext>
            </a:extLst>
          </xdr:cNvPr>
          <xdr:cNvSpPr/>
        </xdr:nvSpPr>
        <xdr:spPr>
          <a:xfrm>
            <a:off x="4022172" y="3024369"/>
            <a:ext cx="166324" cy="325140"/>
          </a:xfrm>
          <a:custGeom>
            <a:avLst/>
            <a:gdLst>
              <a:gd name="connsiteX0" fmla="*/ 166325 w 166324"/>
              <a:gd name="connsiteY0" fmla="*/ 11 h 325140"/>
              <a:gd name="connsiteX1" fmla="*/ 148139 w 166324"/>
              <a:gd name="connsiteY1" fmla="*/ 11 h 325140"/>
              <a:gd name="connsiteX2" fmla="*/ 97622 w 166324"/>
              <a:gd name="connsiteY2" fmla="*/ 14454 h 325140"/>
              <a:gd name="connsiteX3" fmla="*/ 61515 w 166324"/>
              <a:gd name="connsiteY3" fmla="*/ 58544 h 325140"/>
              <a:gd name="connsiteX4" fmla="*/ 61515 w 166324"/>
              <a:gd name="connsiteY4" fmla="*/ 6271 h 325140"/>
              <a:gd name="connsiteX5" fmla="*/ 0 w 166324"/>
              <a:gd name="connsiteY5" fmla="*/ 6271 h 325140"/>
              <a:gd name="connsiteX6" fmla="*/ 0 w 166324"/>
              <a:gd name="connsiteY6" fmla="*/ 325140 h 325140"/>
              <a:gd name="connsiteX7" fmla="*/ 61515 w 166324"/>
              <a:gd name="connsiteY7" fmla="*/ 325140 h 325140"/>
              <a:gd name="connsiteX8" fmla="*/ 61515 w 166324"/>
              <a:gd name="connsiteY8" fmla="*/ 155039 h 325140"/>
              <a:gd name="connsiteX9" fmla="*/ 82218 w 166324"/>
              <a:gd name="connsiteY9" fmla="*/ 89748 h 325140"/>
              <a:gd name="connsiteX10" fmla="*/ 134955 w 166324"/>
              <a:gd name="connsiteY10" fmla="*/ 65169 h 325140"/>
              <a:gd name="connsiteX11" fmla="*/ 166325 w 166324"/>
              <a:gd name="connsiteY11" fmla="*/ 65169 h 32514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66324" h="325140">
                <a:moveTo>
                  <a:pt x="166325" y="11"/>
                </a:moveTo>
                <a:lnTo>
                  <a:pt x="148139" y="11"/>
                </a:lnTo>
                <a:cubicBezTo>
                  <a:pt x="130244" y="-264"/>
                  <a:pt x="112668" y="4761"/>
                  <a:pt x="97622" y="14454"/>
                </a:cubicBezTo>
                <a:cubicBezTo>
                  <a:pt x="82758" y="23971"/>
                  <a:pt x="70724" y="38669"/>
                  <a:pt x="61515" y="58544"/>
                </a:cubicBezTo>
                <a:lnTo>
                  <a:pt x="61515" y="6271"/>
                </a:lnTo>
                <a:lnTo>
                  <a:pt x="0" y="6271"/>
                </a:lnTo>
                <a:lnTo>
                  <a:pt x="0" y="325140"/>
                </a:lnTo>
                <a:lnTo>
                  <a:pt x="61515" y="325140"/>
                </a:lnTo>
                <a:lnTo>
                  <a:pt x="61515" y="155039"/>
                </a:lnTo>
                <a:cubicBezTo>
                  <a:pt x="61515" y="127853"/>
                  <a:pt x="68415" y="106089"/>
                  <a:pt x="82218" y="89748"/>
                </a:cubicBezTo>
                <a:cubicBezTo>
                  <a:pt x="95068" y="73861"/>
                  <a:pt x="114526" y="64792"/>
                  <a:pt x="134955" y="65169"/>
                </a:cubicBezTo>
                <a:lnTo>
                  <a:pt x="166325" y="65169"/>
                </a:ln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9" name="Forma libre: forma 8">
            <a:extLst>
              <a:ext uri="{FF2B5EF4-FFF2-40B4-BE49-F238E27FC236}">
                <a16:creationId xmlns:a16="http://schemas.microsoft.com/office/drawing/2014/main" id="{0C6C3448-2EE1-4E1E-9603-8E5FF5B9059D}"/>
              </a:ext>
            </a:extLst>
          </xdr:cNvPr>
          <xdr:cNvSpPr/>
        </xdr:nvSpPr>
        <xdr:spPr>
          <a:xfrm>
            <a:off x="4188485" y="3024349"/>
            <a:ext cx="323268" cy="332073"/>
          </a:xfrm>
          <a:custGeom>
            <a:avLst/>
            <a:gdLst>
              <a:gd name="connsiteX0" fmla="*/ 244811 w 323268"/>
              <a:gd name="connsiteY0" fmla="*/ 20734 h 332073"/>
              <a:gd name="connsiteX1" fmla="*/ 161334 w 323268"/>
              <a:gd name="connsiteY1" fmla="*/ 31 h 332073"/>
              <a:gd name="connsiteX2" fmla="*/ 97302 w 323268"/>
              <a:gd name="connsiteY2" fmla="*/ 11956 h 332073"/>
              <a:gd name="connsiteX3" fmla="*/ 45858 w 323268"/>
              <a:gd name="connsiteY3" fmla="*/ 46175 h 332073"/>
              <a:gd name="connsiteX4" fmla="*/ 11937 w 323268"/>
              <a:gd name="connsiteY4" fmla="*/ 98878 h 332073"/>
              <a:gd name="connsiteX5" fmla="*/ 11 w 323268"/>
              <a:gd name="connsiteY5" fmla="*/ 165726 h 332073"/>
              <a:gd name="connsiteX6" fmla="*/ 21046 w 323268"/>
              <a:gd name="connsiteY6" fmla="*/ 252350 h 332073"/>
              <a:gd name="connsiteX7" fmla="*/ 78785 w 323268"/>
              <a:gd name="connsiteY7" fmla="*/ 311015 h 332073"/>
              <a:gd name="connsiteX8" fmla="*/ 161963 w 323268"/>
              <a:gd name="connsiteY8" fmla="*/ 332050 h 332073"/>
              <a:gd name="connsiteX9" fmla="*/ 225996 w 323268"/>
              <a:gd name="connsiteY9" fmla="*/ 319827 h 332073"/>
              <a:gd name="connsiteX10" fmla="*/ 277440 w 323268"/>
              <a:gd name="connsiteY10" fmla="*/ 285608 h 332073"/>
              <a:gd name="connsiteX11" fmla="*/ 311327 w 323268"/>
              <a:gd name="connsiteY11" fmla="*/ 233203 h 332073"/>
              <a:gd name="connsiteX12" fmla="*/ 323253 w 323268"/>
              <a:gd name="connsiteY12" fmla="*/ 165726 h 332073"/>
              <a:gd name="connsiteX13" fmla="*/ 302251 w 323268"/>
              <a:gd name="connsiteY13" fmla="*/ 78804 h 332073"/>
              <a:gd name="connsiteX14" fmla="*/ 244811 w 323268"/>
              <a:gd name="connsiteY14" fmla="*/ 20734 h 332073"/>
              <a:gd name="connsiteX15" fmla="*/ 252960 w 323268"/>
              <a:gd name="connsiteY15" fmla="*/ 212168 h 332073"/>
              <a:gd name="connsiteX16" fmla="*/ 232124 w 323268"/>
              <a:gd name="connsiteY16" fmla="*/ 247016 h 332073"/>
              <a:gd name="connsiteX17" fmla="*/ 200754 w 323268"/>
              <a:gd name="connsiteY17" fmla="*/ 268648 h 332073"/>
              <a:gd name="connsiteX18" fmla="*/ 161202 w 323268"/>
              <a:gd name="connsiteY18" fmla="*/ 276200 h 332073"/>
              <a:gd name="connsiteX19" fmla="*/ 111314 w 323268"/>
              <a:gd name="connsiteY19" fmla="*/ 262950 h 332073"/>
              <a:gd name="connsiteX20" fmla="*/ 76433 w 323268"/>
              <a:gd name="connsiteY20" fmla="*/ 225054 h 332073"/>
              <a:gd name="connsiteX21" fmla="*/ 63547 w 323268"/>
              <a:gd name="connsiteY21" fmla="*/ 165726 h 332073"/>
              <a:gd name="connsiteX22" fmla="*/ 70768 w 323268"/>
              <a:gd name="connsiteY22" fmla="*/ 119350 h 332073"/>
              <a:gd name="connsiteX23" fmla="*/ 91174 w 323268"/>
              <a:gd name="connsiteY23" fmla="*/ 84833 h 332073"/>
              <a:gd name="connsiteX24" fmla="*/ 122544 w 323268"/>
              <a:gd name="connsiteY24" fmla="*/ 63168 h 332073"/>
              <a:gd name="connsiteX25" fmla="*/ 161466 w 323268"/>
              <a:gd name="connsiteY25" fmla="*/ 55947 h 332073"/>
              <a:gd name="connsiteX26" fmla="*/ 212613 w 323268"/>
              <a:gd name="connsiteY26" fmla="*/ 69197 h 332073"/>
              <a:gd name="connsiteX27" fmla="*/ 247759 w 323268"/>
              <a:gd name="connsiteY27" fmla="*/ 106861 h 332073"/>
              <a:gd name="connsiteX28" fmla="*/ 260645 w 323268"/>
              <a:gd name="connsiteY28" fmla="*/ 165858 h 332073"/>
              <a:gd name="connsiteX29" fmla="*/ 252960 w 323268"/>
              <a:gd name="connsiteY29" fmla="*/ 212168 h 33207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323268" h="332073">
                <a:moveTo>
                  <a:pt x="244811" y="20734"/>
                </a:moveTo>
                <a:cubicBezTo>
                  <a:pt x="219291" y="6613"/>
                  <a:pt x="190495" y="-529"/>
                  <a:pt x="161334" y="31"/>
                </a:cubicBezTo>
                <a:cubicBezTo>
                  <a:pt x="139418" y="-178"/>
                  <a:pt x="117674" y="3873"/>
                  <a:pt x="97302" y="11956"/>
                </a:cubicBezTo>
                <a:cubicBezTo>
                  <a:pt x="77970" y="19677"/>
                  <a:pt x="60453" y="31331"/>
                  <a:pt x="45858" y="46175"/>
                </a:cubicBezTo>
                <a:cubicBezTo>
                  <a:pt x="31057" y="61230"/>
                  <a:pt x="19509" y="79171"/>
                  <a:pt x="11937" y="98878"/>
                </a:cubicBezTo>
                <a:cubicBezTo>
                  <a:pt x="3801" y="120214"/>
                  <a:pt x="-244" y="142892"/>
                  <a:pt x="11" y="165726"/>
                </a:cubicBezTo>
                <a:cubicBezTo>
                  <a:pt x="11" y="198365"/>
                  <a:pt x="7024" y="227240"/>
                  <a:pt x="21046" y="252350"/>
                </a:cubicBezTo>
                <a:cubicBezTo>
                  <a:pt x="34489" y="276876"/>
                  <a:pt x="54477" y="297185"/>
                  <a:pt x="78785" y="311015"/>
                </a:cubicBezTo>
                <a:cubicBezTo>
                  <a:pt x="104156" y="325279"/>
                  <a:pt x="132862" y="332537"/>
                  <a:pt x="161963" y="332050"/>
                </a:cubicBezTo>
                <a:cubicBezTo>
                  <a:pt x="183906" y="332259"/>
                  <a:pt x="205673" y="328102"/>
                  <a:pt x="225996" y="319827"/>
                </a:cubicBezTo>
                <a:cubicBezTo>
                  <a:pt x="245232" y="311923"/>
                  <a:pt x="262715" y="300296"/>
                  <a:pt x="277440" y="285608"/>
                </a:cubicBezTo>
                <a:cubicBezTo>
                  <a:pt x="292264" y="270691"/>
                  <a:pt x="303805" y="252840"/>
                  <a:pt x="311327" y="233203"/>
                </a:cubicBezTo>
                <a:cubicBezTo>
                  <a:pt x="319503" y="211658"/>
                  <a:pt x="323551" y="188768"/>
                  <a:pt x="323253" y="165726"/>
                </a:cubicBezTo>
                <a:cubicBezTo>
                  <a:pt x="323253" y="132600"/>
                  <a:pt x="316253" y="103625"/>
                  <a:pt x="302251" y="78804"/>
                </a:cubicBezTo>
                <a:cubicBezTo>
                  <a:pt x="288825" y="54522"/>
                  <a:pt x="268946" y="34425"/>
                  <a:pt x="244811" y="20734"/>
                </a:cubicBezTo>
                <a:close/>
                <a:moveTo>
                  <a:pt x="252960" y="212168"/>
                </a:moveTo>
                <a:cubicBezTo>
                  <a:pt x="248458" y="225081"/>
                  <a:pt x="241366" y="236940"/>
                  <a:pt x="232124" y="247016"/>
                </a:cubicBezTo>
                <a:cubicBezTo>
                  <a:pt x="223359" y="256418"/>
                  <a:pt x="212656" y="263798"/>
                  <a:pt x="200754" y="268648"/>
                </a:cubicBezTo>
                <a:cubicBezTo>
                  <a:pt x="188199" y="273759"/>
                  <a:pt x="174757" y="276326"/>
                  <a:pt x="161202" y="276200"/>
                </a:cubicBezTo>
                <a:cubicBezTo>
                  <a:pt x="143675" y="276419"/>
                  <a:pt x="126423" y="271834"/>
                  <a:pt x="111314" y="262950"/>
                </a:cubicBezTo>
                <a:cubicBezTo>
                  <a:pt x="96311" y="253903"/>
                  <a:pt x="84207" y="240752"/>
                  <a:pt x="76433" y="225054"/>
                </a:cubicBezTo>
                <a:cubicBezTo>
                  <a:pt x="67820" y="208534"/>
                  <a:pt x="63524" y="188758"/>
                  <a:pt x="63547" y="165726"/>
                </a:cubicBezTo>
                <a:cubicBezTo>
                  <a:pt x="63275" y="149968"/>
                  <a:pt x="65716" y="134279"/>
                  <a:pt x="70768" y="119350"/>
                </a:cubicBezTo>
                <a:cubicBezTo>
                  <a:pt x="75207" y="106603"/>
                  <a:pt x="82147" y="94866"/>
                  <a:pt x="91174" y="84833"/>
                </a:cubicBezTo>
                <a:cubicBezTo>
                  <a:pt x="99819" y="75289"/>
                  <a:pt x="110556" y="67872"/>
                  <a:pt x="122544" y="63168"/>
                </a:cubicBezTo>
                <a:cubicBezTo>
                  <a:pt x="134939" y="58309"/>
                  <a:pt x="148150" y="55857"/>
                  <a:pt x="161466" y="55947"/>
                </a:cubicBezTo>
                <a:cubicBezTo>
                  <a:pt x="179404" y="55629"/>
                  <a:pt x="197087" y="60210"/>
                  <a:pt x="212613" y="69197"/>
                </a:cubicBezTo>
                <a:cubicBezTo>
                  <a:pt x="227648" y="78181"/>
                  <a:pt x="239835" y="91239"/>
                  <a:pt x="247759" y="106861"/>
                </a:cubicBezTo>
                <a:cubicBezTo>
                  <a:pt x="256349" y="123202"/>
                  <a:pt x="260645" y="142869"/>
                  <a:pt x="260645" y="165858"/>
                </a:cubicBezTo>
                <a:cubicBezTo>
                  <a:pt x="260811" y="181626"/>
                  <a:pt x="258210" y="197301"/>
                  <a:pt x="252960" y="212168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0" name="Forma libre: forma 9">
            <a:extLst>
              <a:ext uri="{FF2B5EF4-FFF2-40B4-BE49-F238E27FC236}">
                <a16:creationId xmlns:a16="http://schemas.microsoft.com/office/drawing/2014/main" id="{CE7810BE-F067-4BDA-B7A3-A6EAE24D5EF4}"/>
              </a:ext>
            </a:extLst>
          </xdr:cNvPr>
          <xdr:cNvSpPr/>
        </xdr:nvSpPr>
        <xdr:spPr>
          <a:xfrm>
            <a:off x="4547484" y="2910029"/>
            <a:ext cx="120541" cy="439693"/>
          </a:xfrm>
          <a:custGeom>
            <a:avLst/>
            <a:gdLst>
              <a:gd name="connsiteX0" fmla="*/ 69396 w 120541"/>
              <a:gd name="connsiteY0" fmla="*/ 375779 h 439693"/>
              <a:gd name="connsiteX1" fmla="*/ 61545 w 120541"/>
              <a:gd name="connsiteY1" fmla="*/ 347821 h 439693"/>
              <a:gd name="connsiteX2" fmla="*/ 61545 w 120541"/>
              <a:gd name="connsiteY2" fmla="*/ 0 h 439693"/>
              <a:gd name="connsiteX3" fmla="*/ 30 w 120541"/>
              <a:gd name="connsiteY3" fmla="*/ 0 h 439693"/>
              <a:gd name="connsiteX4" fmla="*/ 30 w 120541"/>
              <a:gd name="connsiteY4" fmla="*/ 351763 h 439693"/>
              <a:gd name="connsiteX5" fmla="*/ 9471 w 120541"/>
              <a:gd name="connsiteY5" fmla="*/ 397576 h 439693"/>
              <a:gd name="connsiteX6" fmla="*/ 38324 w 120541"/>
              <a:gd name="connsiteY6" fmla="*/ 428350 h 439693"/>
              <a:gd name="connsiteX7" fmla="*/ 86025 w 120541"/>
              <a:gd name="connsiteY7" fmla="*/ 439646 h 439693"/>
              <a:gd name="connsiteX8" fmla="*/ 120542 w 120541"/>
              <a:gd name="connsiteY8" fmla="*/ 439646 h 439693"/>
              <a:gd name="connsiteX9" fmla="*/ 120542 w 120541"/>
              <a:gd name="connsiteY9" fmla="*/ 385651 h 439693"/>
              <a:gd name="connsiteX10" fmla="*/ 95432 w 120541"/>
              <a:gd name="connsiteY10" fmla="*/ 385651 h 439693"/>
              <a:gd name="connsiteX11" fmla="*/ 69396 w 120541"/>
              <a:gd name="connsiteY11" fmla="*/ 375779 h 43969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20541" h="439693">
                <a:moveTo>
                  <a:pt x="69396" y="375779"/>
                </a:moveTo>
                <a:cubicBezTo>
                  <a:pt x="64162" y="369286"/>
                  <a:pt x="61545" y="359968"/>
                  <a:pt x="61545" y="347821"/>
                </a:cubicBezTo>
                <a:lnTo>
                  <a:pt x="61545" y="0"/>
                </a:lnTo>
                <a:lnTo>
                  <a:pt x="30" y="0"/>
                </a:lnTo>
                <a:lnTo>
                  <a:pt x="30" y="351763"/>
                </a:lnTo>
                <a:cubicBezTo>
                  <a:pt x="-351" y="367554"/>
                  <a:pt x="2879" y="383222"/>
                  <a:pt x="9471" y="397576"/>
                </a:cubicBezTo>
                <a:cubicBezTo>
                  <a:pt x="15729" y="410535"/>
                  <a:pt x="25795" y="421271"/>
                  <a:pt x="38324" y="428350"/>
                </a:cubicBezTo>
                <a:cubicBezTo>
                  <a:pt x="52942" y="436277"/>
                  <a:pt x="69405" y="440176"/>
                  <a:pt x="86025" y="439646"/>
                </a:cubicBezTo>
                <a:lnTo>
                  <a:pt x="120542" y="439646"/>
                </a:lnTo>
                <a:lnTo>
                  <a:pt x="120542" y="385651"/>
                </a:lnTo>
                <a:lnTo>
                  <a:pt x="95432" y="385651"/>
                </a:lnTo>
                <a:cubicBezTo>
                  <a:pt x="83308" y="385485"/>
                  <a:pt x="74630" y="382272"/>
                  <a:pt x="69396" y="375779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1" name="Forma libre: forma 10">
            <a:extLst>
              <a:ext uri="{FF2B5EF4-FFF2-40B4-BE49-F238E27FC236}">
                <a16:creationId xmlns:a16="http://schemas.microsoft.com/office/drawing/2014/main" id="{CC4642EE-4271-4FAE-87A7-FCBF875CBE80}"/>
              </a:ext>
            </a:extLst>
          </xdr:cNvPr>
          <xdr:cNvSpPr/>
        </xdr:nvSpPr>
        <xdr:spPr>
          <a:xfrm>
            <a:off x="4682667" y="3024361"/>
            <a:ext cx="282471" cy="332120"/>
          </a:xfrm>
          <a:custGeom>
            <a:avLst/>
            <a:gdLst>
              <a:gd name="connsiteX0" fmla="*/ 270439 w 282471"/>
              <a:gd name="connsiteY0" fmla="*/ 69053 h 332120"/>
              <a:gd name="connsiteX1" fmla="*/ 238771 w 282471"/>
              <a:gd name="connsiteY1" fmla="*/ 29832 h 332120"/>
              <a:gd name="connsiteX2" fmla="*/ 193555 w 282471"/>
              <a:gd name="connsiteY2" fmla="*/ 7240 h 332120"/>
              <a:gd name="connsiteX3" fmla="*/ 139891 w 282471"/>
              <a:gd name="connsiteY3" fmla="*/ 19 h 332120"/>
              <a:gd name="connsiteX4" fmla="*/ 62078 w 282471"/>
              <a:gd name="connsiteY4" fmla="*/ 19166 h 332120"/>
              <a:gd name="connsiteX5" fmla="*/ 10601 w 282471"/>
              <a:gd name="connsiteY5" fmla="*/ 77202 h 332120"/>
              <a:gd name="connsiteX6" fmla="*/ 58931 w 282471"/>
              <a:gd name="connsiteY6" fmla="*/ 104928 h 332120"/>
              <a:gd name="connsiteX7" fmla="*/ 88744 w 282471"/>
              <a:gd name="connsiteY7" fmla="*/ 68490 h 332120"/>
              <a:gd name="connsiteX8" fmla="*/ 138632 w 282471"/>
              <a:gd name="connsiteY8" fmla="*/ 55240 h 332120"/>
              <a:gd name="connsiteX9" fmla="*/ 179741 w 282471"/>
              <a:gd name="connsiteY9" fmla="*/ 62792 h 332120"/>
              <a:gd name="connsiteX10" fmla="*/ 209554 w 282471"/>
              <a:gd name="connsiteY10" fmla="*/ 87272 h 332120"/>
              <a:gd name="connsiteX11" fmla="*/ 220883 w 282471"/>
              <a:gd name="connsiteY11" fmla="*/ 131826 h 332120"/>
              <a:gd name="connsiteX12" fmla="*/ 220883 w 282471"/>
              <a:gd name="connsiteY12" fmla="*/ 167370 h 332120"/>
              <a:gd name="connsiteX13" fmla="*/ 213960 w 282471"/>
              <a:gd name="connsiteY13" fmla="*/ 160745 h 332120"/>
              <a:gd name="connsiteX14" fmla="*/ 128595 w 282471"/>
              <a:gd name="connsiteY14" fmla="*/ 135040 h 332120"/>
              <a:gd name="connsiteX15" fmla="*/ 63337 w 282471"/>
              <a:gd name="connsiteY15" fmla="*/ 146336 h 332120"/>
              <a:gd name="connsiteX16" fmla="*/ 16961 w 282471"/>
              <a:gd name="connsiteY16" fmla="*/ 179892 h 332120"/>
              <a:gd name="connsiteX17" fmla="*/ 16630 w 282471"/>
              <a:gd name="connsiteY17" fmla="*/ 286921 h 332120"/>
              <a:gd name="connsiteX18" fmla="*/ 61813 w 282471"/>
              <a:gd name="connsiteY18" fmla="*/ 320511 h 332120"/>
              <a:gd name="connsiteX19" fmla="*/ 125514 w 282471"/>
              <a:gd name="connsiteY19" fmla="*/ 332105 h 332120"/>
              <a:gd name="connsiteX20" fmla="*/ 212767 w 282471"/>
              <a:gd name="connsiteY20" fmla="*/ 305439 h 332120"/>
              <a:gd name="connsiteX21" fmla="*/ 224063 w 282471"/>
              <a:gd name="connsiteY21" fmla="*/ 293513 h 332120"/>
              <a:gd name="connsiteX22" fmla="*/ 224063 w 282471"/>
              <a:gd name="connsiteY22" fmla="*/ 325215 h 332120"/>
              <a:gd name="connsiteX23" fmla="*/ 282431 w 282471"/>
              <a:gd name="connsiteY23" fmla="*/ 325215 h 332120"/>
              <a:gd name="connsiteX24" fmla="*/ 282431 w 282471"/>
              <a:gd name="connsiteY24" fmla="*/ 126162 h 332120"/>
              <a:gd name="connsiteX25" fmla="*/ 270439 w 282471"/>
              <a:gd name="connsiteY25" fmla="*/ 69053 h 332120"/>
              <a:gd name="connsiteX26" fmla="*/ 200147 w 282471"/>
              <a:gd name="connsiteY26" fmla="*/ 271120 h 332120"/>
              <a:gd name="connsiteX27" fmla="*/ 143833 w 282471"/>
              <a:gd name="connsiteY27" fmla="*/ 284371 h 332120"/>
              <a:gd name="connsiteX28" fmla="*/ 86392 w 282471"/>
              <a:gd name="connsiteY28" fmla="*/ 271120 h 332120"/>
              <a:gd name="connsiteX29" fmla="*/ 63503 w 282471"/>
              <a:gd name="connsiteY29" fmla="*/ 232827 h 332120"/>
              <a:gd name="connsiteX30" fmla="*/ 86392 w 282471"/>
              <a:gd name="connsiteY30" fmla="*/ 193606 h 332120"/>
              <a:gd name="connsiteX31" fmla="*/ 143833 w 282471"/>
              <a:gd name="connsiteY31" fmla="*/ 180753 h 332120"/>
              <a:gd name="connsiteX32" fmla="*/ 200147 w 282471"/>
              <a:gd name="connsiteY32" fmla="*/ 194004 h 332120"/>
              <a:gd name="connsiteX33" fmla="*/ 222738 w 282471"/>
              <a:gd name="connsiteY33" fmla="*/ 232893 h 332120"/>
              <a:gd name="connsiteX34" fmla="*/ 200147 w 282471"/>
              <a:gd name="connsiteY34" fmla="*/ 271154 h 33212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</a:cxnLst>
            <a:rect l="l" t="t" r="r" b="b"/>
            <a:pathLst>
              <a:path w="282471" h="332120">
                <a:moveTo>
                  <a:pt x="270439" y="69053"/>
                </a:moveTo>
                <a:cubicBezTo>
                  <a:pt x="262953" y="53762"/>
                  <a:pt x="252154" y="40356"/>
                  <a:pt x="238771" y="29832"/>
                </a:cubicBezTo>
                <a:cubicBezTo>
                  <a:pt x="225322" y="19431"/>
                  <a:pt x="209952" y="11755"/>
                  <a:pt x="193555" y="7240"/>
                </a:cubicBezTo>
                <a:cubicBezTo>
                  <a:pt x="176097" y="2358"/>
                  <a:pt x="158011" y="-71"/>
                  <a:pt x="139891" y="19"/>
                </a:cubicBezTo>
                <a:cubicBezTo>
                  <a:pt x="112728" y="-402"/>
                  <a:pt x="85929" y="6194"/>
                  <a:pt x="62078" y="19166"/>
                </a:cubicBezTo>
                <a:cubicBezTo>
                  <a:pt x="38857" y="32141"/>
                  <a:pt x="20704" y="52596"/>
                  <a:pt x="10601" y="77202"/>
                </a:cubicBezTo>
                <a:lnTo>
                  <a:pt x="58931" y="104928"/>
                </a:lnTo>
                <a:cubicBezTo>
                  <a:pt x="64795" y="89946"/>
                  <a:pt x="75229" y="77195"/>
                  <a:pt x="88744" y="68490"/>
                </a:cubicBezTo>
                <a:cubicBezTo>
                  <a:pt x="102326" y="59655"/>
                  <a:pt x="118955" y="55240"/>
                  <a:pt x="138632" y="55240"/>
                </a:cubicBezTo>
                <a:cubicBezTo>
                  <a:pt x="152710" y="55051"/>
                  <a:pt x="166656" y="57618"/>
                  <a:pt x="179741" y="62792"/>
                </a:cubicBezTo>
                <a:cubicBezTo>
                  <a:pt x="191965" y="67692"/>
                  <a:pt x="202366" y="76241"/>
                  <a:pt x="209554" y="87272"/>
                </a:cubicBezTo>
                <a:cubicBezTo>
                  <a:pt x="217107" y="98578"/>
                  <a:pt x="220883" y="113432"/>
                  <a:pt x="220883" y="131826"/>
                </a:cubicBezTo>
                <a:lnTo>
                  <a:pt x="220883" y="167370"/>
                </a:lnTo>
                <a:cubicBezTo>
                  <a:pt x="218730" y="165085"/>
                  <a:pt x="216411" y="162832"/>
                  <a:pt x="213960" y="160745"/>
                </a:cubicBezTo>
                <a:cubicBezTo>
                  <a:pt x="194283" y="143609"/>
                  <a:pt x="165828" y="135040"/>
                  <a:pt x="128595" y="135040"/>
                </a:cubicBezTo>
                <a:cubicBezTo>
                  <a:pt x="106334" y="134748"/>
                  <a:pt x="84206" y="138578"/>
                  <a:pt x="63337" y="146336"/>
                </a:cubicBezTo>
                <a:cubicBezTo>
                  <a:pt x="45018" y="152908"/>
                  <a:pt x="28919" y="164545"/>
                  <a:pt x="16961" y="179892"/>
                </a:cubicBezTo>
                <a:cubicBezTo>
                  <a:pt x="-5532" y="211984"/>
                  <a:pt x="-5664" y="254690"/>
                  <a:pt x="16630" y="286921"/>
                </a:cubicBezTo>
                <a:cubicBezTo>
                  <a:pt x="28356" y="302033"/>
                  <a:pt x="43958" y="313651"/>
                  <a:pt x="61813" y="320511"/>
                </a:cubicBezTo>
                <a:cubicBezTo>
                  <a:pt x="82086" y="328464"/>
                  <a:pt x="103717" y="332403"/>
                  <a:pt x="125514" y="332105"/>
                </a:cubicBezTo>
                <a:cubicBezTo>
                  <a:pt x="163178" y="332105"/>
                  <a:pt x="192263" y="323217"/>
                  <a:pt x="212767" y="305439"/>
                </a:cubicBezTo>
                <a:cubicBezTo>
                  <a:pt x="216908" y="301838"/>
                  <a:pt x="220684" y="297843"/>
                  <a:pt x="224063" y="293513"/>
                </a:cubicBezTo>
                <a:lnTo>
                  <a:pt x="224063" y="325215"/>
                </a:lnTo>
                <a:lnTo>
                  <a:pt x="282431" y="325215"/>
                </a:lnTo>
                <a:lnTo>
                  <a:pt x="282431" y="126162"/>
                </a:lnTo>
                <a:cubicBezTo>
                  <a:pt x="282928" y="106452"/>
                  <a:pt x="278820" y="86895"/>
                  <a:pt x="270439" y="69053"/>
                </a:cubicBezTo>
                <a:close/>
                <a:moveTo>
                  <a:pt x="200147" y="271120"/>
                </a:moveTo>
                <a:cubicBezTo>
                  <a:pt x="185107" y="279955"/>
                  <a:pt x="166325" y="284371"/>
                  <a:pt x="143833" y="284371"/>
                </a:cubicBezTo>
                <a:cubicBezTo>
                  <a:pt x="120810" y="284371"/>
                  <a:pt x="101664" y="279955"/>
                  <a:pt x="86392" y="271120"/>
                </a:cubicBezTo>
                <a:cubicBezTo>
                  <a:pt x="71121" y="262286"/>
                  <a:pt x="63503" y="249522"/>
                  <a:pt x="63503" y="232827"/>
                </a:cubicBezTo>
                <a:cubicBezTo>
                  <a:pt x="62840" y="216410"/>
                  <a:pt x="71784" y="201099"/>
                  <a:pt x="86392" y="193606"/>
                </a:cubicBezTo>
                <a:cubicBezTo>
                  <a:pt x="101664" y="185017"/>
                  <a:pt x="120810" y="180730"/>
                  <a:pt x="143833" y="180753"/>
                </a:cubicBezTo>
                <a:cubicBezTo>
                  <a:pt x="166424" y="180753"/>
                  <a:pt x="185207" y="185169"/>
                  <a:pt x="200147" y="194004"/>
                </a:cubicBezTo>
                <a:cubicBezTo>
                  <a:pt x="214490" y="201569"/>
                  <a:pt x="223268" y="216672"/>
                  <a:pt x="222738" y="232893"/>
                </a:cubicBezTo>
                <a:cubicBezTo>
                  <a:pt x="222738" y="249632"/>
                  <a:pt x="215219" y="262385"/>
                  <a:pt x="200147" y="271154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2" name="Forma libre: forma 11">
            <a:extLst>
              <a:ext uri="{FF2B5EF4-FFF2-40B4-BE49-F238E27FC236}">
                <a16:creationId xmlns:a16="http://schemas.microsoft.com/office/drawing/2014/main" id="{D0F8A01D-E6ED-465E-B2B1-5D790CB7DC9D}"/>
              </a:ext>
            </a:extLst>
          </xdr:cNvPr>
          <xdr:cNvSpPr/>
        </xdr:nvSpPr>
        <xdr:spPr>
          <a:xfrm>
            <a:off x="2098856" y="2716012"/>
            <a:ext cx="417605" cy="669560"/>
          </a:xfrm>
          <a:custGeom>
            <a:avLst/>
            <a:gdLst>
              <a:gd name="connsiteX0" fmla="*/ 0 w 417605"/>
              <a:gd name="connsiteY0" fmla="*/ 477343 h 669560"/>
              <a:gd name="connsiteX1" fmla="*/ 55420 w 417605"/>
              <a:gd name="connsiteY1" fmla="*/ 612363 h 669560"/>
              <a:gd name="connsiteX2" fmla="*/ 276634 w 417605"/>
              <a:gd name="connsiteY2" fmla="*/ 648603 h 669560"/>
              <a:gd name="connsiteX3" fmla="*/ 343084 w 417605"/>
              <a:gd name="connsiteY3" fmla="*/ 0 h 669560"/>
              <a:gd name="connsiteX4" fmla="*/ 0 w 417605"/>
              <a:gd name="connsiteY4" fmla="*/ 477343 h 6695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17605" h="669560">
                <a:moveTo>
                  <a:pt x="0" y="477343"/>
                </a:moveTo>
                <a:cubicBezTo>
                  <a:pt x="-76" y="527899"/>
                  <a:pt x="19846" y="576435"/>
                  <a:pt x="55420" y="612363"/>
                </a:cubicBezTo>
                <a:cubicBezTo>
                  <a:pt x="124056" y="681000"/>
                  <a:pt x="217239" y="680868"/>
                  <a:pt x="276634" y="648603"/>
                </a:cubicBezTo>
                <a:cubicBezTo>
                  <a:pt x="349345" y="609150"/>
                  <a:pt x="512920" y="490825"/>
                  <a:pt x="343084" y="0"/>
                </a:cubicBezTo>
                <a:cubicBezTo>
                  <a:pt x="343084" y="231682"/>
                  <a:pt x="0" y="255234"/>
                  <a:pt x="0" y="477343"/>
                </a:cubicBezTo>
                <a:close/>
              </a:path>
            </a:pathLst>
          </a:custGeom>
          <a:solidFill>
            <a:srgbClr val="FF9C1A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3" name="Forma libre: forma 12">
            <a:extLst>
              <a:ext uri="{FF2B5EF4-FFF2-40B4-BE49-F238E27FC236}">
                <a16:creationId xmlns:a16="http://schemas.microsoft.com/office/drawing/2014/main" id="{1D03AE4F-0383-4E8F-8BEE-F3285496C173}"/>
              </a:ext>
            </a:extLst>
          </xdr:cNvPr>
          <xdr:cNvSpPr/>
        </xdr:nvSpPr>
        <xdr:spPr>
          <a:xfrm>
            <a:off x="1855646" y="2716012"/>
            <a:ext cx="399430" cy="669531"/>
          </a:xfrm>
          <a:custGeom>
            <a:avLst/>
            <a:gdLst>
              <a:gd name="connsiteX0" fmla="*/ 399431 w 399430"/>
              <a:gd name="connsiteY0" fmla="*/ 202829 h 669531"/>
              <a:gd name="connsiteX1" fmla="*/ 343117 w 399430"/>
              <a:gd name="connsiteY1" fmla="*/ 0 h 669531"/>
              <a:gd name="connsiteX2" fmla="*/ 0 w 399430"/>
              <a:gd name="connsiteY2" fmla="*/ 477343 h 669531"/>
              <a:gd name="connsiteX3" fmla="*/ 55353 w 399430"/>
              <a:gd name="connsiteY3" fmla="*/ 612363 h 669531"/>
              <a:gd name="connsiteX4" fmla="*/ 276567 w 399430"/>
              <a:gd name="connsiteY4" fmla="*/ 648603 h 669531"/>
              <a:gd name="connsiteX5" fmla="*/ 399431 w 399430"/>
              <a:gd name="connsiteY5" fmla="*/ 202829 h 66953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399430" h="669531">
                <a:moveTo>
                  <a:pt x="399431" y="202829"/>
                </a:moveTo>
                <a:cubicBezTo>
                  <a:pt x="388168" y="142110"/>
                  <a:pt x="370115" y="79933"/>
                  <a:pt x="343117" y="0"/>
                </a:cubicBezTo>
                <a:cubicBezTo>
                  <a:pt x="343117" y="231682"/>
                  <a:pt x="0" y="255234"/>
                  <a:pt x="0" y="477343"/>
                </a:cubicBezTo>
                <a:cubicBezTo>
                  <a:pt x="-76" y="527889"/>
                  <a:pt x="19816" y="576419"/>
                  <a:pt x="55353" y="612363"/>
                </a:cubicBezTo>
                <a:cubicBezTo>
                  <a:pt x="123990" y="681000"/>
                  <a:pt x="217902" y="680801"/>
                  <a:pt x="276567" y="648603"/>
                </a:cubicBezTo>
                <a:cubicBezTo>
                  <a:pt x="140155" y="503148"/>
                  <a:pt x="188188" y="334769"/>
                  <a:pt x="399431" y="202829"/>
                </a:cubicBezTo>
                <a:close/>
              </a:path>
            </a:pathLst>
          </a:custGeom>
          <a:solidFill>
            <a:srgbClr val="0DA9FF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4" name="Forma libre: forma 13">
            <a:extLst>
              <a:ext uri="{FF2B5EF4-FFF2-40B4-BE49-F238E27FC236}">
                <a16:creationId xmlns:a16="http://schemas.microsoft.com/office/drawing/2014/main" id="{EAF6E7AE-2CC8-433E-9157-B9B95DB143E7}"/>
              </a:ext>
            </a:extLst>
          </xdr:cNvPr>
          <xdr:cNvSpPr/>
        </xdr:nvSpPr>
        <xdr:spPr>
          <a:xfrm>
            <a:off x="1612437" y="2716012"/>
            <a:ext cx="399430" cy="827349"/>
          </a:xfrm>
          <a:custGeom>
            <a:avLst/>
            <a:gdLst>
              <a:gd name="connsiteX0" fmla="*/ 399431 w 399430"/>
              <a:gd name="connsiteY0" fmla="*/ 202829 h 827349"/>
              <a:gd name="connsiteX1" fmla="*/ 343117 w 399430"/>
              <a:gd name="connsiteY1" fmla="*/ 0 h 827349"/>
              <a:gd name="connsiteX2" fmla="*/ 0 w 399430"/>
              <a:gd name="connsiteY2" fmla="*/ 477343 h 827349"/>
              <a:gd name="connsiteX3" fmla="*/ 92288 w 399430"/>
              <a:gd name="connsiteY3" fmla="*/ 641415 h 827349"/>
              <a:gd name="connsiteX4" fmla="*/ 83444 w 399430"/>
              <a:gd name="connsiteY4" fmla="*/ 827350 h 827349"/>
              <a:gd name="connsiteX5" fmla="*/ 127468 w 399430"/>
              <a:gd name="connsiteY5" fmla="*/ 820029 h 827349"/>
              <a:gd name="connsiteX6" fmla="*/ 120512 w 399430"/>
              <a:gd name="connsiteY6" fmla="*/ 655659 h 827349"/>
              <a:gd name="connsiteX7" fmla="*/ 276567 w 399430"/>
              <a:gd name="connsiteY7" fmla="*/ 648669 h 827349"/>
              <a:gd name="connsiteX8" fmla="*/ 399431 w 399430"/>
              <a:gd name="connsiteY8" fmla="*/ 202829 h 8273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399430" h="827349">
                <a:moveTo>
                  <a:pt x="399431" y="202829"/>
                </a:moveTo>
                <a:cubicBezTo>
                  <a:pt x="388168" y="142110"/>
                  <a:pt x="370081" y="79933"/>
                  <a:pt x="343117" y="0"/>
                </a:cubicBezTo>
                <a:cubicBezTo>
                  <a:pt x="343117" y="231682"/>
                  <a:pt x="0" y="255234"/>
                  <a:pt x="0" y="477343"/>
                </a:cubicBezTo>
                <a:cubicBezTo>
                  <a:pt x="0" y="591262"/>
                  <a:pt x="92288" y="641415"/>
                  <a:pt x="92288" y="641415"/>
                </a:cubicBezTo>
                <a:cubicBezTo>
                  <a:pt x="77948" y="702323"/>
                  <a:pt x="74950" y="765355"/>
                  <a:pt x="83444" y="827350"/>
                </a:cubicBezTo>
                <a:lnTo>
                  <a:pt x="127468" y="820029"/>
                </a:lnTo>
                <a:cubicBezTo>
                  <a:pt x="105936" y="745165"/>
                  <a:pt x="119153" y="663642"/>
                  <a:pt x="120512" y="655659"/>
                </a:cubicBezTo>
                <a:cubicBezTo>
                  <a:pt x="176825" y="678218"/>
                  <a:pt x="234895" y="671526"/>
                  <a:pt x="276567" y="648669"/>
                </a:cubicBezTo>
                <a:cubicBezTo>
                  <a:pt x="139956" y="503148"/>
                  <a:pt x="188188" y="334802"/>
                  <a:pt x="399431" y="202829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5" name="Forma libre: forma 14">
            <a:extLst>
              <a:ext uri="{FF2B5EF4-FFF2-40B4-BE49-F238E27FC236}">
                <a16:creationId xmlns:a16="http://schemas.microsoft.com/office/drawing/2014/main" id="{6437AE50-0C84-40FB-96FA-E5D82890B72A}"/>
              </a:ext>
            </a:extLst>
          </xdr:cNvPr>
          <xdr:cNvSpPr/>
        </xdr:nvSpPr>
        <xdr:spPr>
          <a:xfrm>
            <a:off x="2678093" y="3422916"/>
            <a:ext cx="300020" cy="439380"/>
          </a:xfrm>
          <a:custGeom>
            <a:avLst/>
            <a:gdLst>
              <a:gd name="connsiteX0" fmla="*/ 26997 w 300020"/>
              <a:gd name="connsiteY0" fmla="*/ 0 h 439380"/>
              <a:gd name="connsiteX1" fmla="*/ 0 w 300020"/>
              <a:gd name="connsiteY1" fmla="*/ 0 h 439380"/>
              <a:gd name="connsiteX2" fmla="*/ 0 w 300020"/>
              <a:gd name="connsiteY2" fmla="*/ 439380 h 439380"/>
              <a:gd name="connsiteX3" fmla="*/ 26997 w 300020"/>
              <a:gd name="connsiteY3" fmla="*/ 439380 h 439380"/>
              <a:gd name="connsiteX4" fmla="*/ 64628 w 300020"/>
              <a:gd name="connsiteY4" fmla="*/ 439380 h 439380"/>
              <a:gd name="connsiteX5" fmla="*/ 300020 w 300020"/>
              <a:gd name="connsiteY5" fmla="*/ 439380 h 439380"/>
              <a:gd name="connsiteX6" fmla="*/ 300020 w 300020"/>
              <a:gd name="connsiteY6" fmla="*/ 381013 h 439380"/>
              <a:gd name="connsiteX7" fmla="*/ 64628 w 300020"/>
              <a:gd name="connsiteY7" fmla="*/ 381013 h 439380"/>
              <a:gd name="connsiteX8" fmla="*/ 64628 w 300020"/>
              <a:gd name="connsiteY8" fmla="*/ 245429 h 439380"/>
              <a:gd name="connsiteX9" fmla="*/ 274281 w 300020"/>
              <a:gd name="connsiteY9" fmla="*/ 245429 h 439380"/>
              <a:gd name="connsiteX10" fmla="*/ 274281 w 300020"/>
              <a:gd name="connsiteY10" fmla="*/ 187691 h 439380"/>
              <a:gd name="connsiteX11" fmla="*/ 64628 w 300020"/>
              <a:gd name="connsiteY11" fmla="*/ 187691 h 439380"/>
              <a:gd name="connsiteX12" fmla="*/ 64628 w 300020"/>
              <a:gd name="connsiteY12" fmla="*/ 58401 h 439380"/>
              <a:gd name="connsiteX13" fmla="*/ 300020 w 300020"/>
              <a:gd name="connsiteY13" fmla="*/ 58401 h 439380"/>
              <a:gd name="connsiteX14" fmla="*/ 300020 w 300020"/>
              <a:gd name="connsiteY14" fmla="*/ 0 h 439380"/>
              <a:gd name="connsiteX15" fmla="*/ 64628 w 300020"/>
              <a:gd name="connsiteY15" fmla="*/ 0 h 439380"/>
              <a:gd name="connsiteX16" fmla="*/ 26997 w 300020"/>
              <a:gd name="connsiteY16" fmla="*/ 0 h 43938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</a:cxnLst>
            <a:rect l="l" t="t" r="r" b="b"/>
            <a:pathLst>
              <a:path w="300020" h="439380">
                <a:moveTo>
                  <a:pt x="26997" y="0"/>
                </a:moveTo>
                <a:lnTo>
                  <a:pt x="0" y="0"/>
                </a:lnTo>
                <a:lnTo>
                  <a:pt x="0" y="439380"/>
                </a:lnTo>
                <a:lnTo>
                  <a:pt x="26997" y="439380"/>
                </a:lnTo>
                <a:lnTo>
                  <a:pt x="64628" y="439380"/>
                </a:lnTo>
                <a:lnTo>
                  <a:pt x="300020" y="439380"/>
                </a:lnTo>
                <a:lnTo>
                  <a:pt x="300020" y="381013"/>
                </a:lnTo>
                <a:lnTo>
                  <a:pt x="64628" y="381013"/>
                </a:lnTo>
                <a:lnTo>
                  <a:pt x="64628" y="245429"/>
                </a:lnTo>
                <a:lnTo>
                  <a:pt x="274281" y="245429"/>
                </a:lnTo>
                <a:lnTo>
                  <a:pt x="274281" y="187691"/>
                </a:lnTo>
                <a:lnTo>
                  <a:pt x="64628" y="187691"/>
                </a:lnTo>
                <a:lnTo>
                  <a:pt x="64628" y="58401"/>
                </a:lnTo>
                <a:lnTo>
                  <a:pt x="300020" y="58401"/>
                </a:lnTo>
                <a:lnTo>
                  <a:pt x="300020" y="0"/>
                </a:lnTo>
                <a:lnTo>
                  <a:pt x="64628" y="0"/>
                </a:lnTo>
                <a:lnTo>
                  <a:pt x="26997" y="0"/>
                </a:ln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6" name="Forma libre: forma 15">
            <a:extLst>
              <a:ext uri="{FF2B5EF4-FFF2-40B4-BE49-F238E27FC236}">
                <a16:creationId xmlns:a16="http://schemas.microsoft.com/office/drawing/2014/main" id="{EC7B7503-6156-41CC-B86C-98D9C8549A3E}"/>
              </a:ext>
            </a:extLst>
          </xdr:cNvPr>
          <xdr:cNvSpPr/>
        </xdr:nvSpPr>
        <xdr:spPr>
          <a:xfrm>
            <a:off x="3001335" y="3537237"/>
            <a:ext cx="267266" cy="332053"/>
          </a:xfrm>
          <a:custGeom>
            <a:avLst/>
            <a:gdLst>
              <a:gd name="connsiteX0" fmla="*/ 243011 w 267266"/>
              <a:gd name="connsiteY0" fmla="*/ 178378 h 332053"/>
              <a:gd name="connsiteX1" fmla="*/ 168643 w 267266"/>
              <a:gd name="connsiteY1" fmla="*/ 142901 h 332053"/>
              <a:gd name="connsiteX2" fmla="*/ 137306 w 267266"/>
              <a:gd name="connsiteY2" fmla="*/ 135513 h 332053"/>
              <a:gd name="connsiteX3" fmla="*/ 104181 w 267266"/>
              <a:gd name="connsiteY3" fmla="*/ 124847 h 332053"/>
              <a:gd name="connsiteX4" fmla="*/ 80993 w 267266"/>
              <a:gd name="connsiteY4" fmla="*/ 111034 h 332053"/>
              <a:gd name="connsiteX5" fmla="*/ 72214 w 267266"/>
              <a:gd name="connsiteY5" fmla="*/ 89667 h 332053"/>
              <a:gd name="connsiteX6" fmla="*/ 88777 w 267266"/>
              <a:gd name="connsiteY6" fmla="*/ 63001 h 332053"/>
              <a:gd name="connsiteX7" fmla="*/ 132404 w 267266"/>
              <a:gd name="connsiteY7" fmla="*/ 52666 h 332053"/>
              <a:gd name="connsiteX8" fmla="*/ 181662 w 267266"/>
              <a:gd name="connsiteY8" fmla="*/ 64889 h 332053"/>
              <a:gd name="connsiteX9" fmla="*/ 212105 w 267266"/>
              <a:gd name="connsiteY9" fmla="*/ 106628 h 332053"/>
              <a:gd name="connsiteX10" fmla="*/ 263582 w 267266"/>
              <a:gd name="connsiteY10" fmla="*/ 87812 h 332053"/>
              <a:gd name="connsiteX11" fmla="*/ 236584 w 267266"/>
              <a:gd name="connsiteY11" fmla="*/ 39482 h 332053"/>
              <a:gd name="connsiteX12" fmla="*/ 191103 w 267266"/>
              <a:gd name="connsiteY12" fmla="*/ 9967 h 332053"/>
              <a:gd name="connsiteX13" fmla="*/ 132404 w 267266"/>
              <a:gd name="connsiteY13" fmla="*/ 29 h 332053"/>
              <a:gd name="connsiteX14" fmla="*/ 69465 w 267266"/>
              <a:gd name="connsiteY14" fmla="*/ 11656 h 332053"/>
              <a:gd name="connsiteX15" fmla="*/ 26766 w 267266"/>
              <a:gd name="connsiteY15" fmla="*/ 43656 h 332053"/>
              <a:gd name="connsiteX16" fmla="*/ 11395 w 267266"/>
              <a:gd name="connsiteY16" fmla="*/ 90429 h 332053"/>
              <a:gd name="connsiteX17" fmla="*/ 34583 w 267266"/>
              <a:gd name="connsiteY17" fmla="*/ 149724 h 332053"/>
              <a:gd name="connsiteX18" fmla="*/ 109282 w 267266"/>
              <a:gd name="connsiteY18" fmla="*/ 186428 h 332053"/>
              <a:gd name="connsiteX19" fmla="*/ 141282 w 267266"/>
              <a:gd name="connsiteY19" fmla="*/ 194610 h 332053"/>
              <a:gd name="connsiteX20" fmla="*/ 191202 w 267266"/>
              <a:gd name="connsiteY20" fmla="*/ 211868 h 332053"/>
              <a:gd name="connsiteX21" fmla="*/ 207202 w 267266"/>
              <a:gd name="connsiteY21" fmla="*/ 239164 h 332053"/>
              <a:gd name="connsiteX22" fmla="*/ 188353 w 267266"/>
              <a:gd name="connsiteY22" fmla="*/ 268348 h 332053"/>
              <a:gd name="connsiteX23" fmla="*/ 136246 w 267266"/>
              <a:gd name="connsiteY23" fmla="*/ 279975 h 332053"/>
              <a:gd name="connsiteX24" fmla="*/ 99808 w 267266"/>
              <a:gd name="connsiteY24" fmla="*/ 273681 h 332053"/>
              <a:gd name="connsiteX25" fmla="*/ 69365 w 267266"/>
              <a:gd name="connsiteY25" fmla="*/ 254534 h 332053"/>
              <a:gd name="connsiteX26" fmla="*/ 50219 w 267266"/>
              <a:gd name="connsiteY26" fmla="*/ 222237 h 332053"/>
              <a:gd name="connsiteX27" fmla="*/ 0 w 267266"/>
              <a:gd name="connsiteY27" fmla="*/ 244199 h 332053"/>
              <a:gd name="connsiteX28" fmla="*/ 78442 w 267266"/>
              <a:gd name="connsiteY28" fmla="*/ 322641 h 332053"/>
              <a:gd name="connsiteX29" fmla="*/ 136180 w 267266"/>
              <a:gd name="connsiteY29" fmla="*/ 332049 h 332053"/>
              <a:gd name="connsiteX30" fmla="*/ 205744 w 267266"/>
              <a:gd name="connsiteY30" fmla="*/ 319825 h 332053"/>
              <a:gd name="connsiteX31" fmla="*/ 251259 w 267266"/>
              <a:gd name="connsiteY31" fmla="*/ 286236 h 332053"/>
              <a:gd name="connsiteX32" fmla="*/ 267259 w 267266"/>
              <a:gd name="connsiteY32" fmla="*/ 237276 h 332053"/>
              <a:gd name="connsiteX33" fmla="*/ 243011 w 267266"/>
              <a:gd name="connsiteY33" fmla="*/ 178378 h 3320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</a:cxnLst>
            <a:rect l="l" t="t" r="r" b="b"/>
            <a:pathLst>
              <a:path w="267266" h="332053">
                <a:moveTo>
                  <a:pt x="243011" y="178378"/>
                </a:moveTo>
                <a:cubicBezTo>
                  <a:pt x="226912" y="163097"/>
                  <a:pt x="202124" y="151271"/>
                  <a:pt x="168643" y="142901"/>
                </a:cubicBezTo>
                <a:lnTo>
                  <a:pt x="137306" y="135513"/>
                </a:lnTo>
                <a:cubicBezTo>
                  <a:pt x="126080" y="132562"/>
                  <a:pt x="115023" y="129001"/>
                  <a:pt x="104181" y="124847"/>
                </a:cubicBezTo>
                <a:cubicBezTo>
                  <a:pt x="95661" y="121720"/>
                  <a:pt x="87800" y="117036"/>
                  <a:pt x="80993" y="111034"/>
                </a:cubicBezTo>
                <a:cubicBezTo>
                  <a:pt x="75103" y="105525"/>
                  <a:pt x="71896" y="97727"/>
                  <a:pt x="72214" y="89667"/>
                </a:cubicBezTo>
                <a:cubicBezTo>
                  <a:pt x="72214" y="78802"/>
                  <a:pt x="77736" y="69914"/>
                  <a:pt x="88777" y="63001"/>
                </a:cubicBezTo>
                <a:cubicBezTo>
                  <a:pt x="99818" y="56088"/>
                  <a:pt x="114360" y="52643"/>
                  <a:pt x="132404" y="52666"/>
                </a:cubicBezTo>
                <a:cubicBezTo>
                  <a:pt x="149609" y="52364"/>
                  <a:pt x="166593" y="56578"/>
                  <a:pt x="181662" y="64889"/>
                </a:cubicBezTo>
                <a:cubicBezTo>
                  <a:pt x="196105" y="73061"/>
                  <a:pt x="206251" y="86974"/>
                  <a:pt x="212105" y="106628"/>
                </a:cubicBezTo>
                <a:lnTo>
                  <a:pt x="263582" y="87812"/>
                </a:lnTo>
                <a:cubicBezTo>
                  <a:pt x="258782" y="69693"/>
                  <a:pt x="249497" y="53070"/>
                  <a:pt x="236584" y="39482"/>
                </a:cubicBezTo>
                <a:cubicBezTo>
                  <a:pt x="223821" y="26364"/>
                  <a:pt x="208278" y="16281"/>
                  <a:pt x="191103" y="9967"/>
                </a:cubicBezTo>
                <a:cubicBezTo>
                  <a:pt x="172297" y="3136"/>
                  <a:pt x="152409" y="-229"/>
                  <a:pt x="132404" y="29"/>
                </a:cubicBezTo>
                <a:cubicBezTo>
                  <a:pt x="110856" y="-382"/>
                  <a:pt x="89446" y="3573"/>
                  <a:pt x="69465" y="11656"/>
                </a:cubicBezTo>
                <a:cubicBezTo>
                  <a:pt x="52644" y="18344"/>
                  <a:pt x="37906" y="29388"/>
                  <a:pt x="26766" y="43656"/>
                </a:cubicBezTo>
                <a:cubicBezTo>
                  <a:pt x="16576" y="57098"/>
                  <a:pt x="11167" y="73562"/>
                  <a:pt x="11395" y="90429"/>
                </a:cubicBezTo>
                <a:cubicBezTo>
                  <a:pt x="10862" y="112504"/>
                  <a:pt x="19216" y="133867"/>
                  <a:pt x="34583" y="149724"/>
                </a:cubicBezTo>
                <a:cubicBezTo>
                  <a:pt x="50043" y="165867"/>
                  <a:pt x="74940" y="178103"/>
                  <a:pt x="109282" y="186428"/>
                </a:cubicBezTo>
                <a:lnTo>
                  <a:pt x="141282" y="194610"/>
                </a:lnTo>
                <a:cubicBezTo>
                  <a:pt x="163873" y="199602"/>
                  <a:pt x="180512" y="205353"/>
                  <a:pt x="191202" y="211868"/>
                </a:cubicBezTo>
                <a:cubicBezTo>
                  <a:pt x="201223" y="217258"/>
                  <a:pt x="207394" y="227789"/>
                  <a:pt x="207202" y="239164"/>
                </a:cubicBezTo>
                <a:cubicBezTo>
                  <a:pt x="207202" y="250891"/>
                  <a:pt x="200918" y="260620"/>
                  <a:pt x="188353" y="268348"/>
                </a:cubicBezTo>
                <a:cubicBezTo>
                  <a:pt x="175789" y="276076"/>
                  <a:pt x="158417" y="279952"/>
                  <a:pt x="136246" y="279975"/>
                </a:cubicBezTo>
                <a:cubicBezTo>
                  <a:pt x="123828" y="280012"/>
                  <a:pt x="111495" y="277881"/>
                  <a:pt x="99808" y="273681"/>
                </a:cubicBezTo>
                <a:cubicBezTo>
                  <a:pt x="88346" y="269676"/>
                  <a:pt x="77938" y="263131"/>
                  <a:pt x="69365" y="254534"/>
                </a:cubicBezTo>
                <a:cubicBezTo>
                  <a:pt x="60478" y="245465"/>
                  <a:pt x="53909" y="234387"/>
                  <a:pt x="50219" y="222237"/>
                </a:cubicBezTo>
                <a:lnTo>
                  <a:pt x="0" y="244199"/>
                </a:lnTo>
                <a:cubicBezTo>
                  <a:pt x="12326" y="281247"/>
                  <a:pt x="41394" y="310315"/>
                  <a:pt x="78442" y="322641"/>
                </a:cubicBezTo>
                <a:cubicBezTo>
                  <a:pt x="97019" y="329018"/>
                  <a:pt x="116540" y="332198"/>
                  <a:pt x="136180" y="332049"/>
                </a:cubicBezTo>
                <a:cubicBezTo>
                  <a:pt x="162989" y="332049"/>
                  <a:pt x="186177" y="327974"/>
                  <a:pt x="205744" y="319825"/>
                </a:cubicBezTo>
                <a:cubicBezTo>
                  <a:pt x="223679" y="312958"/>
                  <a:pt x="239410" y="301348"/>
                  <a:pt x="251259" y="286236"/>
                </a:cubicBezTo>
                <a:cubicBezTo>
                  <a:pt x="261879" y="272144"/>
                  <a:pt x="267507" y="254919"/>
                  <a:pt x="267259" y="237276"/>
                </a:cubicBezTo>
                <a:cubicBezTo>
                  <a:pt x="267216" y="213468"/>
                  <a:pt x="259133" y="193838"/>
                  <a:pt x="243011" y="178378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7" name="Forma libre: forma 16">
            <a:extLst>
              <a:ext uri="{FF2B5EF4-FFF2-40B4-BE49-F238E27FC236}">
                <a16:creationId xmlns:a16="http://schemas.microsoft.com/office/drawing/2014/main" id="{6C7A3D95-CABC-4CD0-B9D2-B7D6F6E6008C}"/>
              </a:ext>
            </a:extLst>
          </xdr:cNvPr>
          <xdr:cNvSpPr/>
        </xdr:nvSpPr>
        <xdr:spPr>
          <a:xfrm>
            <a:off x="3309438" y="3537154"/>
            <a:ext cx="315701" cy="429323"/>
          </a:xfrm>
          <a:custGeom>
            <a:avLst/>
            <a:gdLst>
              <a:gd name="connsiteX0" fmla="*/ 243839 w 315701"/>
              <a:gd name="connsiteY0" fmla="*/ 21048 h 429323"/>
              <a:gd name="connsiteX1" fmla="*/ 169438 w 315701"/>
              <a:gd name="connsiteY1" fmla="*/ 13 h 429323"/>
              <a:gd name="connsiteX2" fmla="*/ 108255 w 315701"/>
              <a:gd name="connsiteY2" fmla="*/ 14754 h 429323"/>
              <a:gd name="connsiteX3" fmla="*/ 67146 w 315701"/>
              <a:gd name="connsiteY3" fmla="*/ 53677 h 429323"/>
              <a:gd name="connsiteX4" fmla="*/ 61481 w 315701"/>
              <a:gd name="connsiteY4" fmla="*/ 63085 h 429323"/>
              <a:gd name="connsiteX5" fmla="*/ 61481 w 315701"/>
              <a:gd name="connsiteY5" fmla="*/ 6207 h 429323"/>
              <a:gd name="connsiteX6" fmla="*/ 0 w 315701"/>
              <a:gd name="connsiteY6" fmla="*/ 6207 h 429323"/>
              <a:gd name="connsiteX7" fmla="*/ 0 w 315701"/>
              <a:gd name="connsiteY7" fmla="*/ 429323 h 429323"/>
              <a:gd name="connsiteX8" fmla="*/ 61481 w 315701"/>
              <a:gd name="connsiteY8" fmla="*/ 429323 h 429323"/>
              <a:gd name="connsiteX9" fmla="*/ 61481 w 315701"/>
              <a:gd name="connsiteY9" fmla="*/ 267901 h 429323"/>
              <a:gd name="connsiteX10" fmla="*/ 67444 w 315701"/>
              <a:gd name="connsiteY10" fmla="*/ 277839 h 429323"/>
              <a:gd name="connsiteX11" fmla="*/ 108553 w 315701"/>
              <a:gd name="connsiteY11" fmla="*/ 316729 h 429323"/>
              <a:gd name="connsiteX12" fmla="*/ 169438 w 315701"/>
              <a:gd name="connsiteY12" fmla="*/ 331470 h 429323"/>
              <a:gd name="connsiteX13" fmla="*/ 227177 w 315701"/>
              <a:gd name="connsiteY13" fmla="*/ 319246 h 429323"/>
              <a:gd name="connsiteX14" fmla="*/ 273321 w 315701"/>
              <a:gd name="connsiteY14" fmla="*/ 285027 h 429323"/>
              <a:gd name="connsiteX15" fmla="*/ 304393 w 315701"/>
              <a:gd name="connsiteY15" fmla="*/ 232622 h 429323"/>
              <a:gd name="connsiteX16" fmla="*/ 315689 w 315701"/>
              <a:gd name="connsiteY16" fmla="*/ 165774 h 429323"/>
              <a:gd name="connsiteX17" fmla="*/ 296244 w 315701"/>
              <a:gd name="connsiteY17" fmla="*/ 79647 h 429323"/>
              <a:gd name="connsiteX18" fmla="*/ 243839 w 315701"/>
              <a:gd name="connsiteY18" fmla="*/ 21048 h 429323"/>
              <a:gd name="connsiteX19" fmla="*/ 245727 w 315701"/>
              <a:gd name="connsiteY19" fmla="*/ 211852 h 429323"/>
              <a:gd name="connsiteX20" fmla="*/ 225620 w 315701"/>
              <a:gd name="connsiteY20" fmla="*/ 246701 h 429323"/>
              <a:gd name="connsiteX21" fmla="*/ 195177 w 315701"/>
              <a:gd name="connsiteY21" fmla="*/ 268663 h 429323"/>
              <a:gd name="connsiteX22" fmla="*/ 156254 w 315701"/>
              <a:gd name="connsiteY22" fmla="*/ 276183 h 429323"/>
              <a:gd name="connsiteX23" fmla="*/ 87220 w 315701"/>
              <a:gd name="connsiteY23" fmla="*/ 246999 h 429323"/>
              <a:gd name="connsiteX24" fmla="*/ 60223 w 315701"/>
              <a:gd name="connsiteY24" fmla="*/ 165708 h 429323"/>
              <a:gd name="connsiteX25" fmla="*/ 67444 w 315701"/>
              <a:gd name="connsiteY25" fmla="*/ 119597 h 429323"/>
              <a:gd name="connsiteX26" fmla="*/ 87585 w 315701"/>
              <a:gd name="connsiteY26" fmla="*/ 84749 h 429323"/>
              <a:gd name="connsiteX27" fmla="*/ 118027 w 315701"/>
              <a:gd name="connsiteY27" fmla="*/ 63085 h 429323"/>
              <a:gd name="connsiteX28" fmla="*/ 156254 w 315701"/>
              <a:gd name="connsiteY28" fmla="*/ 55896 h 429323"/>
              <a:gd name="connsiteX29" fmla="*/ 225818 w 315701"/>
              <a:gd name="connsiteY29" fmla="*/ 85047 h 429323"/>
              <a:gd name="connsiteX30" fmla="*/ 252783 w 315701"/>
              <a:gd name="connsiteY30" fmla="*/ 165708 h 429323"/>
              <a:gd name="connsiteX31" fmla="*/ 245727 w 315701"/>
              <a:gd name="connsiteY31" fmla="*/ 211852 h 4293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315701" h="429323">
                <a:moveTo>
                  <a:pt x="243839" y="21048"/>
                </a:moveTo>
                <a:cubicBezTo>
                  <a:pt x="221608" y="6959"/>
                  <a:pt x="195753" y="-351"/>
                  <a:pt x="169438" y="13"/>
                </a:cubicBezTo>
                <a:cubicBezTo>
                  <a:pt x="145588" y="13"/>
                  <a:pt x="125192" y="4926"/>
                  <a:pt x="108255" y="14754"/>
                </a:cubicBezTo>
                <a:cubicBezTo>
                  <a:pt x="91642" y="24261"/>
                  <a:pt x="77547" y="37607"/>
                  <a:pt x="67146" y="53677"/>
                </a:cubicBezTo>
                <a:cubicBezTo>
                  <a:pt x="65158" y="56757"/>
                  <a:pt x="63270" y="59904"/>
                  <a:pt x="61481" y="63085"/>
                </a:cubicBezTo>
                <a:lnTo>
                  <a:pt x="61481" y="6207"/>
                </a:lnTo>
                <a:lnTo>
                  <a:pt x="0" y="6207"/>
                </a:lnTo>
                <a:lnTo>
                  <a:pt x="0" y="429323"/>
                </a:lnTo>
                <a:lnTo>
                  <a:pt x="61481" y="429323"/>
                </a:lnTo>
                <a:lnTo>
                  <a:pt x="61481" y="267901"/>
                </a:lnTo>
                <a:cubicBezTo>
                  <a:pt x="63370" y="271214"/>
                  <a:pt x="65357" y="274526"/>
                  <a:pt x="67444" y="277839"/>
                </a:cubicBezTo>
                <a:cubicBezTo>
                  <a:pt x="77961" y="293802"/>
                  <a:pt x="92030" y="307112"/>
                  <a:pt x="108553" y="316729"/>
                </a:cubicBezTo>
                <a:cubicBezTo>
                  <a:pt x="125315" y="326557"/>
                  <a:pt x="145611" y="331470"/>
                  <a:pt x="169438" y="331470"/>
                </a:cubicBezTo>
                <a:cubicBezTo>
                  <a:pt x="189350" y="331688"/>
                  <a:pt x="209063" y="327514"/>
                  <a:pt x="227177" y="319246"/>
                </a:cubicBezTo>
                <a:cubicBezTo>
                  <a:pt x="244740" y="311120"/>
                  <a:pt x="260445" y="299473"/>
                  <a:pt x="273321" y="285027"/>
                </a:cubicBezTo>
                <a:cubicBezTo>
                  <a:pt x="286922" y="269700"/>
                  <a:pt x="297470" y="251911"/>
                  <a:pt x="304393" y="232622"/>
                </a:cubicBezTo>
                <a:cubicBezTo>
                  <a:pt x="312131" y="211196"/>
                  <a:pt x="315957" y="188555"/>
                  <a:pt x="315689" y="165774"/>
                </a:cubicBezTo>
                <a:cubicBezTo>
                  <a:pt x="315689" y="133155"/>
                  <a:pt x="309206" y="104449"/>
                  <a:pt x="296244" y="79647"/>
                </a:cubicBezTo>
                <a:cubicBezTo>
                  <a:pt x="284309" y="55793"/>
                  <a:pt x="266215" y="35564"/>
                  <a:pt x="243839" y="21048"/>
                </a:cubicBezTo>
                <a:close/>
                <a:moveTo>
                  <a:pt x="245727" y="211852"/>
                </a:moveTo>
                <a:cubicBezTo>
                  <a:pt x="241354" y="224665"/>
                  <a:pt x="234524" y="236501"/>
                  <a:pt x="225620" y="246701"/>
                </a:cubicBezTo>
                <a:cubicBezTo>
                  <a:pt x="217219" y="256181"/>
                  <a:pt x="206824" y="263681"/>
                  <a:pt x="195177" y="268663"/>
                </a:cubicBezTo>
                <a:cubicBezTo>
                  <a:pt x="182848" y="273791"/>
                  <a:pt x="169604" y="276348"/>
                  <a:pt x="156254" y="276183"/>
                </a:cubicBezTo>
                <a:cubicBezTo>
                  <a:pt x="128230" y="276183"/>
                  <a:pt x="105217" y="266454"/>
                  <a:pt x="87220" y="246999"/>
                </a:cubicBezTo>
                <a:cubicBezTo>
                  <a:pt x="69223" y="227544"/>
                  <a:pt x="60223" y="200447"/>
                  <a:pt x="60223" y="165708"/>
                </a:cubicBezTo>
                <a:cubicBezTo>
                  <a:pt x="59991" y="150040"/>
                  <a:pt x="62432" y="134444"/>
                  <a:pt x="67444" y="119597"/>
                </a:cubicBezTo>
                <a:cubicBezTo>
                  <a:pt x="71813" y="106774"/>
                  <a:pt x="78657" y="94935"/>
                  <a:pt x="87585" y="84749"/>
                </a:cubicBezTo>
                <a:cubicBezTo>
                  <a:pt x="95936" y="75288"/>
                  <a:pt x="106354" y="67874"/>
                  <a:pt x="118027" y="63085"/>
                </a:cubicBezTo>
                <a:cubicBezTo>
                  <a:pt x="130174" y="58205"/>
                  <a:pt x="143163" y="55764"/>
                  <a:pt x="156254" y="55896"/>
                </a:cubicBezTo>
                <a:cubicBezTo>
                  <a:pt x="184700" y="55896"/>
                  <a:pt x="207888" y="65612"/>
                  <a:pt x="225818" y="85047"/>
                </a:cubicBezTo>
                <a:cubicBezTo>
                  <a:pt x="243749" y="104482"/>
                  <a:pt x="252740" y="131367"/>
                  <a:pt x="252783" y="165708"/>
                </a:cubicBezTo>
                <a:cubicBezTo>
                  <a:pt x="253071" y="181380"/>
                  <a:pt x="250686" y="196986"/>
                  <a:pt x="245727" y="211852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8" name="Forma libre: forma 17">
            <a:extLst>
              <a:ext uri="{FF2B5EF4-FFF2-40B4-BE49-F238E27FC236}">
                <a16:creationId xmlns:a16="http://schemas.microsoft.com/office/drawing/2014/main" id="{264A44E7-70EB-4585-803C-87E3C07BFAFC}"/>
              </a:ext>
            </a:extLst>
          </xdr:cNvPr>
          <xdr:cNvSpPr/>
        </xdr:nvSpPr>
        <xdr:spPr>
          <a:xfrm>
            <a:off x="3648845" y="3537148"/>
            <a:ext cx="282476" cy="332023"/>
          </a:xfrm>
          <a:custGeom>
            <a:avLst/>
            <a:gdLst>
              <a:gd name="connsiteX0" fmla="*/ 238737 w 282476"/>
              <a:gd name="connsiteY0" fmla="*/ 29832 h 332023"/>
              <a:gd name="connsiteX1" fmla="*/ 193520 w 282476"/>
              <a:gd name="connsiteY1" fmla="*/ 7240 h 332023"/>
              <a:gd name="connsiteX2" fmla="*/ 139857 w 282476"/>
              <a:gd name="connsiteY2" fmla="*/ 19 h 332023"/>
              <a:gd name="connsiteX3" fmla="*/ 62044 w 282476"/>
              <a:gd name="connsiteY3" fmla="*/ 19166 h 332023"/>
              <a:gd name="connsiteX4" fmla="*/ 10567 w 282476"/>
              <a:gd name="connsiteY4" fmla="*/ 77235 h 332023"/>
              <a:gd name="connsiteX5" fmla="*/ 58897 w 282476"/>
              <a:gd name="connsiteY5" fmla="*/ 104829 h 332023"/>
              <a:gd name="connsiteX6" fmla="*/ 88710 w 282476"/>
              <a:gd name="connsiteY6" fmla="*/ 68391 h 332023"/>
              <a:gd name="connsiteX7" fmla="*/ 138598 w 282476"/>
              <a:gd name="connsiteY7" fmla="*/ 55140 h 332023"/>
              <a:gd name="connsiteX8" fmla="*/ 179707 w 282476"/>
              <a:gd name="connsiteY8" fmla="*/ 62693 h 332023"/>
              <a:gd name="connsiteX9" fmla="*/ 209520 w 282476"/>
              <a:gd name="connsiteY9" fmla="*/ 87173 h 332023"/>
              <a:gd name="connsiteX10" fmla="*/ 220849 w 282476"/>
              <a:gd name="connsiteY10" fmla="*/ 131727 h 332023"/>
              <a:gd name="connsiteX11" fmla="*/ 220849 w 282476"/>
              <a:gd name="connsiteY11" fmla="*/ 167304 h 332023"/>
              <a:gd name="connsiteX12" fmla="*/ 213926 w 282476"/>
              <a:gd name="connsiteY12" fmla="*/ 160679 h 332023"/>
              <a:gd name="connsiteX13" fmla="*/ 128561 w 282476"/>
              <a:gd name="connsiteY13" fmla="*/ 134940 h 332023"/>
              <a:gd name="connsiteX14" fmla="*/ 63303 w 282476"/>
              <a:gd name="connsiteY14" fmla="*/ 146236 h 332023"/>
              <a:gd name="connsiteX15" fmla="*/ 16927 w 282476"/>
              <a:gd name="connsiteY15" fmla="*/ 179826 h 332023"/>
              <a:gd name="connsiteX16" fmla="*/ 16629 w 282476"/>
              <a:gd name="connsiteY16" fmla="*/ 286822 h 332023"/>
              <a:gd name="connsiteX17" fmla="*/ 61812 w 282476"/>
              <a:gd name="connsiteY17" fmla="*/ 320412 h 332023"/>
              <a:gd name="connsiteX18" fmla="*/ 125546 w 282476"/>
              <a:gd name="connsiteY18" fmla="*/ 332006 h 332023"/>
              <a:gd name="connsiteX19" fmla="*/ 212766 w 282476"/>
              <a:gd name="connsiteY19" fmla="*/ 305339 h 332023"/>
              <a:gd name="connsiteX20" fmla="*/ 224062 w 282476"/>
              <a:gd name="connsiteY20" fmla="*/ 293414 h 332023"/>
              <a:gd name="connsiteX21" fmla="*/ 224062 w 282476"/>
              <a:gd name="connsiteY21" fmla="*/ 325115 h 332023"/>
              <a:gd name="connsiteX22" fmla="*/ 282430 w 282476"/>
              <a:gd name="connsiteY22" fmla="*/ 325115 h 332023"/>
              <a:gd name="connsiteX23" fmla="*/ 282430 w 282476"/>
              <a:gd name="connsiteY23" fmla="*/ 126195 h 332023"/>
              <a:gd name="connsiteX24" fmla="*/ 270505 w 282476"/>
              <a:gd name="connsiteY24" fmla="*/ 69053 h 332023"/>
              <a:gd name="connsiteX25" fmla="*/ 238737 w 282476"/>
              <a:gd name="connsiteY25" fmla="*/ 29832 h 332023"/>
              <a:gd name="connsiteX26" fmla="*/ 200112 w 282476"/>
              <a:gd name="connsiteY26" fmla="*/ 271220 h 332023"/>
              <a:gd name="connsiteX27" fmla="*/ 143799 w 282476"/>
              <a:gd name="connsiteY27" fmla="*/ 284470 h 332023"/>
              <a:gd name="connsiteX28" fmla="*/ 86060 w 282476"/>
              <a:gd name="connsiteY28" fmla="*/ 271220 h 332023"/>
              <a:gd name="connsiteX29" fmla="*/ 63171 w 282476"/>
              <a:gd name="connsiteY29" fmla="*/ 232926 h 332023"/>
              <a:gd name="connsiteX30" fmla="*/ 86060 w 282476"/>
              <a:gd name="connsiteY30" fmla="*/ 193639 h 332023"/>
              <a:gd name="connsiteX31" fmla="*/ 143501 w 282476"/>
              <a:gd name="connsiteY31" fmla="*/ 180786 h 332023"/>
              <a:gd name="connsiteX32" fmla="*/ 199814 w 282476"/>
              <a:gd name="connsiteY32" fmla="*/ 194037 h 332023"/>
              <a:gd name="connsiteX33" fmla="*/ 222406 w 282476"/>
              <a:gd name="connsiteY33" fmla="*/ 232960 h 332023"/>
              <a:gd name="connsiteX34" fmla="*/ 200112 w 282476"/>
              <a:gd name="connsiteY34" fmla="*/ 271220 h 3320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</a:cxnLst>
            <a:rect l="l" t="t" r="r" b="b"/>
            <a:pathLst>
              <a:path w="282476" h="332023">
                <a:moveTo>
                  <a:pt x="238737" y="29832"/>
                </a:moveTo>
                <a:cubicBezTo>
                  <a:pt x="225272" y="19444"/>
                  <a:pt x="209914" y="11772"/>
                  <a:pt x="193520" y="7240"/>
                </a:cubicBezTo>
                <a:cubicBezTo>
                  <a:pt x="176053" y="2358"/>
                  <a:pt x="157993" y="-71"/>
                  <a:pt x="139857" y="19"/>
                </a:cubicBezTo>
                <a:cubicBezTo>
                  <a:pt x="112704" y="-402"/>
                  <a:pt x="85901" y="6194"/>
                  <a:pt x="62044" y="19166"/>
                </a:cubicBezTo>
                <a:cubicBezTo>
                  <a:pt x="38820" y="32151"/>
                  <a:pt x="20673" y="52619"/>
                  <a:pt x="10567" y="77235"/>
                </a:cubicBezTo>
                <a:lnTo>
                  <a:pt x="58897" y="104829"/>
                </a:lnTo>
                <a:cubicBezTo>
                  <a:pt x="64737" y="89839"/>
                  <a:pt x="75175" y="77086"/>
                  <a:pt x="88710" y="68391"/>
                </a:cubicBezTo>
                <a:cubicBezTo>
                  <a:pt x="102292" y="59556"/>
                  <a:pt x="118921" y="55140"/>
                  <a:pt x="138598" y="55140"/>
                </a:cubicBezTo>
                <a:cubicBezTo>
                  <a:pt x="152663" y="54951"/>
                  <a:pt x="166629" y="57519"/>
                  <a:pt x="179707" y="62693"/>
                </a:cubicBezTo>
                <a:cubicBezTo>
                  <a:pt x="191927" y="67592"/>
                  <a:pt x="202335" y="76142"/>
                  <a:pt x="209520" y="87173"/>
                </a:cubicBezTo>
                <a:cubicBezTo>
                  <a:pt x="217073" y="98459"/>
                  <a:pt x="220849" y="113309"/>
                  <a:pt x="220849" y="131727"/>
                </a:cubicBezTo>
                <a:lnTo>
                  <a:pt x="220849" y="167304"/>
                </a:lnTo>
                <a:cubicBezTo>
                  <a:pt x="218663" y="164972"/>
                  <a:pt x="216351" y="162759"/>
                  <a:pt x="213926" y="160679"/>
                </a:cubicBezTo>
                <a:cubicBezTo>
                  <a:pt x="194249" y="143520"/>
                  <a:pt x="165794" y="134940"/>
                  <a:pt x="128561" y="134940"/>
                </a:cubicBezTo>
                <a:cubicBezTo>
                  <a:pt x="106300" y="134665"/>
                  <a:pt x="84179" y="138495"/>
                  <a:pt x="63303" y="146236"/>
                </a:cubicBezTo>
                <a:cubicBezTo>
                  <a:pt x="44978" y="152822"/>
                  <a:pt x="28899" y="164469"/>
                  <a:pt x="16927" y="179826"/>
                </a:cubicBezTo>
                <a:cubicBezTo>
                  <a:pt x="-5533" y="211921"/>
                  <a:pt x="-5652" y="254604"/>
                  <a:pt x="16629" y="286822"/>
                </a:cubicBezTo>
                <a:cubicBezTo>
                  <a:pt x="28332" y="301944"/>
                  <a:pt x="43961" y="313561"/>
                  <a:pt x="61812" y="320412"/>
                </a:cubicBezTo>
                <a:cubicBezTo>
                  <a:pt x="82102" y="328385"/>
                  <a:pt x="103750" y="332324"/>
                  <a:pt x="125546" y="332006"/>
                </a:cubicBezTo>
                <a:cubicBezTo>
                  <a:pt x="163088" y="332006"/>
                  <a:pt x="192162" y="323118"/>
                  <a:pt x="212766" y="305339"/>
                </a:cubicBezTo>
                <a:cubicBezTo>
                  <a:pt x="216914" y="301745"/>
                  <a:pt x="220700" y="297750"/>
                  <a:pt x="224062" y="293414"/>
                </a:cubicBezTo>
                <a:lnTo>
                  <a:pt x="224062" y="325115"/>
                </a:lnTo>
                <a:lnTo>
                  <a:pt x="282430" y="325115"/>
                </a:lnTo>
                <a:lnTo>
                  <a:pt x="282430" y="126195"/>
                </a:lnTo>
                <a:cubicBezTo>
                  <a:pt x="282963" y="106479"/>
                  <a:pt x="278879" y="86911"/>
                  <a:pt x="270505" y="69053"/>
                </a:cubicBezTo>
                <a:cubicBezTo>
                  <a:pt x="263008" y="53752"/>
                  <a:pt x="252146" y="40343"/>
                  <a:pt x="238737" y="29832"/>
                </a:cubicBezTo>
                <a:close/>
                <a:moveTo>
                  <a:pt x="200112" y="271220"/>
                </a:moveTo>
                <a:cubicBezTo>
                  <a:pt x="185050" y="280054"/>
                  <a:pt x="166281" y="284470"/>
                  <a:pt x="143799" y="284470"/>
                </a:cubicBezTo>
                <a:cubicBezTo>
                  <a:pt x="120766" y="284470"/>
                  <a:pt x="101520" y="280054"/>
                  <a:pt x="86060" y="271220"/>
                </a:cubicBezTo>
                <a:cubicBezTo>
                  <a:pt x="70601" y="262385"/>
                  <a:pt x="62972" y="249622"/>
                  <a:pt x="63171" y="232926"/>
                </a:cubicBezTo>
                <a:cubicBezTo>
                  <a:pt x="62481" y="216486"/>
                  <a:pt x="71419" y="201149"/>
                  <a:pt x="86060" y="193639"/>
                </a:cubicBezTo>
                <a:cubicBezTo>
                  <a:pt x="101321" y="185093"/>
                  <a:pt x="120468" y="180810"/>
                  <a:pt x="143501" y="180786"/>
                </a:cubicBezTo>
                <a:cubicBezTo>
                  <a:pt x="166092" y="180786"/>
                  <a:pt x="184865" y="185202"/>
                  <a:pt x="199814" y="194037"/>
                </a:cubicBezTo>
                <a:cubicBezTo>
                  <a:pt x="214178" y="201616"/>
                  <a:pt x="222949" y="216731"/>
                  <a:pt x="222406" y="232960"/>
                </a:cubicBezTo>
                <a:cubicBezTo>
                  <a:pt x="222605" y="249632"/>
                  <a:pt x="215175" y="262385"/>
                  <a:pt x="200112" y="271220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9" name="Forma libre: forma 18">
            <a:extLst>
              <a:ext uri="{FF2B5EF4-FFF2-40B4-BE49-F238E27FC236}">
                <a16:creationId xmlns:a16="http://schemas.microsoft.com/office/drawing/2014/main" id="{018D1DBB-4138-4B63-A864-AD0955E11A00}"/>
              </a:ext>
            </a:extLst>
          </xdr:cNvPr>
          <xdr:cNvSpPr/>
        </xdr:nvSpPr>
        <xdr:spPr>
          <a:xfrm>
            <a:off x="4026578" y="3414119"/>
            <a:ext cx="210333" cy="83064"/>
          </a:xfrm>
          <a:custGeom>
            <a:avLst/>
            <a:gdLst>
              <a:gd name="connsiteX0" fmla="*/ 126474 w 210333"/>
              <a:gd name="connsiteY0" fmla="*/ 28275 h 83064"/>
              <a:gd name="connsiteX1" fmla="*/ 112031 w 210333"/>
              <a:gd name="connsiteY1" fmla="*/ 16648 h 83064"/>
              <a:gd name="connsiteX2" fmla="*/ 93547 w 210333"/>
              <a:gd name="connsiteY2" fmla="*/ 5053 h 83064"/>
              <a:gd name="connsiteX3" fmla="*/ 34848 w 210333"/>
              <a:gd name="connsiteY3" fmla="*/ 8830 h 83064"/>
              <a:gd name="connsiteX4" fmla="*/ 9739 w 210333"/>
              <a:gd name="connsiteY4" fmla="*/ 35330 h 83064"/>
              <a:gd name="connsiteX5" fmla="*/ 0 w 210333"/>
              <a:gd name="connsiteY5" fmla="*/ 79918 h 83064"/>
              <a:gd name="connsiteX6" fmla="*/ 50848 w 210333"/>
              <a:gd name="connsiteY6" fmla="*/ 79918 h 83064"/>
              <a:gd name="connsiteX7" fmla="*/ 56181 w 210333"/>
              <a:gd name="connsiteY7" fmla="*/ 56365 h 83064"/>
              <a:gd name="connsiteX8" fmla="*/ 69664 w 210333"/>
              <a:gd name="connsiteY8" fmla="*/ 49144 h 83064"/>
              <a:gd name="connsiteX9" fmla="*/ 83808 w 210333"/>
              <a:gd name="connsiteY9" fmla="*/ 54179 h 83064"/>
              <a:gd name="connsiteX10" fmla="*/ 97920 w 210333"/>
              <a:gd name="connsiteY10" fmla="*/ 66104 h 83064"/>
              <a:gd name="connsiteX11" fmla="*/ 116437 w 210333"/>
              <a:gd name="connsiteY11" fmla="*/ 78030 h 83064"/>
              <a:gd name="connsiteX12" fmla="*/ 143733 w 210333"/>
              <a:gd name="connsiteY12" fmla="*/ 83032 h 83064"/>
              <a:gd name="connsiteX13" fmla="*/ 175434 w 210333"/>
              <a:gd name="connsiteY13" fmla="*/ 74253 h 83064"/>
              <a:gd name="connsiteX14" fmla="*/ 200544 w 210333"/>
              <a:gd name="connsiteY14" fmla="*/ 47587 h 83064"/>
              <a:gd name="connsiteX15" fmla="*/ 210283 w 210333"/>
              <a:gd name="connsiteY15" fmla="*/ 3331 h 83064"/>
              <a:gd name="connsiteX16" fmla="*/ 159434 w 210333"/>
              <a:gd name="connsiteY16" fmla="*/ 3331 h 83064"/>
              <a:gd name="connsiteX17" fmla="*/ 154101 w 210333"/>
              <a:gd name="connsiteY17" fmla="*/ 26254 h 83064"/>
              <a:gd name="connsiteX18" fmla="*/ 140619 w 210333"/>
              <a:gd name="connsiteY18" fmla="*/ 33177 h 83064"/>
              <a:gd name="connsiteX19" fmla="*/ 126474 w 210333"/>
              <a:gd name="connsiteY19" fmla="*/ 28275 h 8306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</a:cxnLst>
            <a:rect l="l" t="t" r="r" b="b"/>
            <a:pathLst>
              <a:path w="210333" h="83064">
                <a:moveTo>
                  <a:pt x="126474" y="28275"/>
                </a:moveTo>
                <a:cubicBezTo>
                  <a:pt x="122059" y="24939"/>
                  <a:pt x="117242" y="21063"/>
                  <a:pt x="112031" y="16648"/>
                </a:cubicBezTo>
                <a:cubicBezTo>
                  <a:pt x="106394" y="12003"/>
                  <a:pt x="100182" y="8108"/>
                  <a:pt x="93547" y="5053"/>
                </a:cubicBezTo>
                <a:cubicBezTo>
                  <a:pt x="74450" y="-2827"/>
                  <a:pt x="52779" y="-1433"/>
                  <a:pt x="34848" y="8830"/>
                </a:cubicBezTo>
                <a:cubicBezTo>
                  <a:pt x="24172" y="15150"/>
                  <a:pt x="15473" y="24329"/>
                  <a:pt x="9739" y="35330"/>
                </a:cubicBezTo>
                <a:cubicBezTo>
                  <a:pt x="3246" y="47057"/>
                  <a:pt x="0" y="61921"/>
                  <a:pt x="0" y="79918"/>
                </a:cubicBezTo>
                <a:lnTo>
                  <a:pt x="50848" y="79918"/>
                </a:lnTo>
                <a:cubicBezTo>
                  <a:pt x="50848" y="69009"/>
                  <a:pt x="52627" y="61159"/>
                  <a:pt x="56181" y="56365"/>
                </a:cubicBezTo>
                <a:cubicBezTo>
                  <a:pt x="59179" y="51850"/>
                  <a:pt x="64244" y="49137"/>
                  <a:pt x="69664" y="49144"/>
                </a:cubicBezTo>
                <a:cubicBezTo>
                  <a:pt x="74808" y="49190"/>
                  <a:pt x="79790" y="50962"/>
                  <a:pt x="83808" y="54179"/>
                </a:cubicBezTo>
                <a:cubicBezTo>
                  <a:pt x="88224" y="57515"/>
                  <a:pt x="92928" y="61490"/>
                  <a:pt x="97920" y="66104"/>
                </a:cubicBezTo>
                <a:cubicBezTo>
                  <a:pt x="103432" y="71023"/>
                  <a:pt x="109679" y="75045"/>
                  <a:pt x="116437" y="78030"/>
                </a:cubicBezTo>
                <a:cubicBezTo>
                  <a:pt x="125076" y="81624"/>
                  <a:pt x="134381" y="83330"/>
                  <a:pt x="143733" y="83032"/>
                </a:cubicBezTo>
                <a:cubicBezTo>
                  <a:pt x="154893" y="82969"/>
                  <a:pt x="165831" y="79938"/>
                  <a:pt x="175434" y="74253"/>
                </a:cubicBezTo>
                <a:cubicBezTo>
                  <a:pt x="186154" y="67913"/>
                  <a:pt x="194859" y="58668"/>
                  <a:pt x="200544" y="47587"/>
                </a:cubicBezTo>
                <a:cubicBezTo>
                  <a:pt x="207447" y="33883"/>
                  <a:pt x="210796" y="18665"/>
                  <a:pt x="210283" y="3331"/>
                </a:cubicBezTo>
                <a:lnTo>
                  <a:pt x="159434" y="3331"/>
                </a:lnTo>
                <a:cubicBezTo>
                  <a:pt x="159434" y="13799"/>
                  <a:pt x="157656" y="21441"/>
                  <a:pt x="154101" y="26254"/>
                </a:cubicBezTo>
                <a:cubicBezTo>
                  <a:pt x="151030" y="30653"/>
                  <a:pt x="145982" y="33243"/>
                  <a:pt x="140619" y="33177"/>
                </a:cubicBezTo>
                <a:cubicBezTo>
                  <a:pt x="135488" y="33171"/>
                  <a:pt x="130509" y="31445"/>
                  <a:pt x="126474" y="28275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20" name="Forma libre: forma 19">
            <a:extLst>
              <a:ext uri="{FF2B5EF4-FFF2-40B4-BE49-F238E27FC236}">
                <a16:creationId xmlns:a16="http://schemas.microsoft.com/office/drawing/2014/main" id="{85BFFF17-D237-4171-8DDF-7828973CDE65}"/>
              </a:ext>
            </a:extLst>
          </xdr:cNvPr>
          <xdr:cNvSpPr/>
        </xdr:nvSpPr>
        <xdr:spPr>
          <a:xfrm>
            <a:off x="3988914" y="3537141"/>
            <a:ext cx="273723" cy="325188"/>
          </a:xfrm>
          <a:custGeom>
            <a:avLst/>
            <a:gdLst>
              <a:gd name="connsiteX0" fmla="*/ 216543 w 273723"/>
              <a:gd name="connsiteY0" fmla="*/ 15098 h 325188"/>
              <a:gd name="connsiteX1" fmla="*/ 155658 w 273723"/>
              <a:gd name="connsiteY1" fmla="*/ 25 h 325188"/>
              <a:gd name="connsiteX2" fmla="*/ 94475 w 273723"/>
              <a:gd name="connsiteY2" fmla="*/ 17284 h 325188"/>
              <a:gd name="connsiteX3" fmla="*/ 61349 w 273723"/>
              <a:gd name="connsiteY3" fmla="*/ 53490 h 325188"/>
              <a:gd name="connsiteX4" fmla="*/ 61349 w 273723"/>
              <a:gd name="connsiteY4" fmla="*/ 6220 h 325188"/>
              <a:gd name="connsiteX5" fmla="*/ 0 w 273723"/>
              <a:gd name="connsiteY5" fmla="*/ 6220 h 325188"/>
              <a:gd name="connsiteX6" fmla="*/ 0 w 273723"/>
              <a:gd name="connsiteY6" fmla="*/ 325089 h 325188"/>
              <a:gd name="connsiteX7" fmla="*/ 61515 w 273723"/>
              <a:gd name="connsiteY7" fmla="*/ 325089 h 325188"/>
              <a:gd name="connsiteX8" fmla="*/ 61515 w 273723"/>
              <a:gd name="connsiteY8" fmla="*/ 136272 h 325188"/>
              <a:gd name="connsiteX9" fmla="*/ 83808 w 273723"/>
              <a:gd name="connsiteY9" fmla="*/ 76314 h 325188"/>
              <a:gd name="connsiteX10" fmla="*/ 141248 w 273723"/>
              <a:gd name="connsiteY10" fmla="*/ 54650 h 325188"/>
              <a:gd name="connsiteX11" fmla="*/ 192096 w 273723"/>
              <a:gd name="connsiteY11" fmla="*/ 76016 h 325188"/>
              <a:gd name="connsiteX12" fmla="*/ 211541 w 273723"/>
              <a:gd name="connsiteY12" fmla="*/ 133754 h 325188"/>
              <a:gd name="connsiteX13" fmla="*/ 211541 w 273723"/>
              <a:gd name="connsiteY13" fmla="*/ 325188 h 325188"/>
              <a:gd name="connsiteX14" fmla="*/ 273685 w 273723"/>
              <a:gd name="connsiteY14" fmla="*/ 325188 h 325188"/>
              <a:gd name="connsiteX15" fmla="*/ 273685 w 273723"/>
              <a:gd name="connsiteY15" fmla="*/ 123684 h 325188"/>
              <a:gd name="connsiteX16" fmla="*/ 258315 w 273723"/>
              <a:gd name="connsiteY16" fmla="*/ 58095 h 325188"/>
              <a:gd name="connsiteX17" fmla="*/ 216543 w 273723"/>
              <a:gd name="connsiteY17" fmla="*/ 15098 h 32518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273723" h="325188">
                <a:moveTo>
                  <a:pt x="216543" y="15098"/>
                </a:moveTo>
                <a:cubicBezTo>
                  <a:pt x="197933" y="4789"/>
                  <a:pt x="176928" y="-412"/>
                  <a:pt x="155658" y="25"/>
                </a:cubicBezTo>
                <a:cubicBezTo>
                  <a:pt x="134057" y="-8"/>
                  <a:pt x="112873" y="5968"/>
                  <a:pt x="94475" y="17284"/>
                </a:cubicBezTo>
                <a:cubicBezTo>
                  <a:pt x="80307" y="26069"/>
                  <a:pt x="68842" y="38597"/>
                  <a:pt x="61349" y="53490"/>
                </a:cubicBezTo>
                <a:lnTo>
                  <a:pt x="61349" y="6220"/>
                </a:lnTo>
                <a:lnTo>
                  <a:pt x="0" y="6220"/>
                </a:lnTo>
                <a:lnTo>
                  <a:pt x="0" y="325089"/>
                </a:lnTo>
                <a:lnTo>
                  <a:pt x="61515" y="325089"/>
                </a:lnTo>
                <a:lnTo>
                  <a:pt x="61515" y="136272"/>
                </a:lnTo>
                <a:cubicBezTo>
                  <a:pt x="61515" y="110742"/>
                  <a:pt x="68945" y="90757"/>
                  <a:pt x="83808" y="76314"/>
                </a:cubicBezTo>
                <a:cubicBezTo>
                  <a:pt x="98672" y="61871"/>
                  <a:pt x="117819" y="54650"/>
                  <a:pt x="141248" y="54650"/>
                </a:cubicBezTo>
                <a:cubicBezTo>
                  <a:pt x="162141" y="54650"/>
                  <a:pt x="179088" y="61772"/>
                  <a:pt x="192096" y="76016"/>
                </a:cubicBezTo>
                <a:cubicBezTo>
                  <a:pt x="205105" y="90260"/>
                  <a:pt x="211584" y="109506"/>
                  <a:pt x="211541" y="133754"/>
                </a:cubicBezTo>
                <a:lnTo>
                  <a:pt x="211541" y="325188"/>
                </a:lnTo>
                <a:lnTo>
                  <a:pt x="273685" y="325188"/>
                </a:lnTo>
                <a:lnTo>
                  <a:pt x="273685" y="123684"/>
                </a:lnTo>
                <a:cubicBezTo>
                  <a:pt x="274228" y="100870"/>
                  <a:pt x="268938" y="78292"/>
                  <a:pt x="258315" y="58095"/>
                </a:cubicBezTo>
                <a:cubicBezTo>
                  <a:pt x="248695" y="40131"/>
                  <a:pt x="234219" y="25234"/>
                  <a:pt x="216543" y="15098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21" name="Forma libre: forma 20">
            <a:extLst>
              <a:ext uri="{FF2B5EF4-FFF2-40B4-BE49-F238E27FC236}">
                <a16:creationId xmlns:a16="http://schemas.microsoft.com/office/drawing/2014/main" id="{5DB7E18D-A44C-4CD7-A5E2-E8FDEE02CAC3}"/>
              </a:ext>
            </a:extLst>
          </xdr:cNvPr>
          <xdr:cNvSpPr/>
        </xdr:nvSpPr>
        <xdr:spPr>
          <a:xfrm>
            <a:off x="4301158" y="3537148"/>
            <a:ext cx="282476" cy="332023"/>
          </a:xfrm>
          <a:custGeom>
            <a:avLst/>
            <a:gdLst>
              <a:gd name="connsiteX0" fmla="*/ 238704 w 282476"/>
              <a:gd name="connsiteY0" fmla="*/ 29832 h 332023"/>
              <a:gd name="connsiteX1" fmla="*/ 193520 w 282476"/>
              <a:gd name="connsiteY1" fmla="*/ 7241 h 332023"/>
              <a:gd name="connsiteX2" fmla="*/ 139856 w 282476"/>
              <a:gd name="connsiteY2" fmla="*/ 19 h 332023"/>
              <a:gd name="connsiteX3" fmla="*/ 62044 w 282476"/>
              <a:gd name="connsiteY3" fmla="*/ 19166 h 332023"/>
              <a:gd name="connsiteX4" fmla="*/ 10567 w 282476"/>
              <a:gd name="connsiteY4" fmla="*/ 77235 h 332023"/>
              <a:gd name="connsiteX5" fmla="*/ 58897 w 282476"/>
              <a:gd name="connsiteY5" fmla="*/ 104829 h 332023"/>
              <a:gd name="connsiteX6" fmla="*/ 88710 w 282476"/>
              <a:gd name="connsiteY6" fmla="*/ 68391 h 332023"/>
              <a:gd name="connsiteX7" fmla="*/ 138598 w 282476"/>
              <a:gd name="connsiteY7" fmla="*/ 55140 h 332023"/>
              <a:gd name="connsiteX8" fmla="*/ 179707 w 282476"/>
              <a:gd name="connsiteY8" fmla="*/ 62693 h 332023"/>
              <a:gd name="connsiteX9" fmla="*/ 209520 w 282476"/>
              <a:gd name="connsiteY9" fmla="*/ 87173 h 332023"/>
              <a:gd name="connsiteX10" fmla="*/ 220816 w 282476"/>
              <a:gd name="connsiteY10" fmla="*/ 131727 h 332023"/>
              <a:gd name="connsiteX11" fmla="*/ 220816 w 282476"/>
              <a:gd name="connsiteY11" fmla="*/ 167304 h 332023"/>
              <a:gd name="connsiteX12" fmla="*/ 213926 w 282476"/>
              <a:gd name="connsiteY12" fmla="*/ 160679 h 332023"/>
              <a:gd name="connsiteX13" fmla="*/ 128561 w 282476"/>
              <a:gd name="connsiteY13" fmla="*/ 134941 h 332023"/>
              <a:gd name="connsiteX14" fmla="*/ 63303 w 282476"/>
              <a:gd name="connsiteY14" fmla="*/ 146236 h 332023"/>
              <a:gd name="connsiteX15" fmla="*/ 16927 w 282476"/>
              <a:gd name="connsiteY15" fmla="*/ 179826 h 332023"/>
              <a:gd name="connsiteX16" fmla="*/ 16629 w 282476"/>
              <a:gd name="connsiteY16" fmla="*/ 286822 h 332023"/>
              <a:gd name="connsiteX17" fmla="*/ 61812 w 282476"/>
              <a:gd name="connsiteY17" fmla="*/ 320412 h 332023"/>
              <a:gd name="connsiteX18" fmla="*/ 125513 w 282476"/>
              <a:gd name="connsiteY18" fmla="*/ 332006 h 332023"/>
              <a:gd name="connsiteX19" fmla="*/ 212766 w 282476"/>
              <a:gd name="connsiteY19" fmla="*/ 305340 h 332023"/>
              <a:gd name="connsiteX20" fmla="*/ 224062 w 282476"/>
              <a:gd name="connsiteY20" fmla="*/ 293414 h 332023"/>
              <a:gd name="connsiteX21" fmla="*/ 224062 w 282476"/>
              <a:gd name="connsiteY21" fmla="*/ 325116 h 332023"/>
              <a:gd name="connsiteX22" fmla="*/ 282430 w 282476"/>
              <a:gd name="connsiteY22" fmla="*/ 325116 h 332023"/>
              <a:gd name="connsiteX23" fmla="*/ 282430 w 282476"/>
              <a:gd name="connsiteY23" fmla="*/ 126195 h 332023"/>
              <a:gd name="connsiteX24" fmla="*/ 270505 w 282476"/>
              <a:gd name="connsiteY24" fmla="*/ 69053 h 332023"/>
              <a:gd name="connsiteX25" fmla="*/ 238704 w 282476"/>
              <a:gd name="connsiteY25" fmla="*/ 29832 h 332023"/>
              <a:gd name="connsiteX26" fmla="*/ 200013 w 282476"/>
              <a:gd name="connsiteY26" fmla="*/ 271220 h 332023"/>
              <a:gd name="connsiteX27" fmla="*/ 143534 w 282476"/>
              <a:gd name="connsiteY27" fmla="*/ 284470 h 332023"/>
              <a:gd name="connsiteX28" fmla="*/ 86093 w 282476"/>
              <a:gd name="connsiteY28" fmla="*/ 271220 h 332023"/>
              <a:gd name="connsiteX29" fmla="*/ 63137 w 282476"/>
              <a:gd name="connsiteY29" fmla="*/ 232893 h 332023"/>
              <a:gd name="connsiteX30" fmla="*/ 86027 w 282476"/>
              <a:gd name="connsiteY30" fmla="*/ 193639 h 332023"/>
              <a:gd name="connsiteX31" fmla="*/ 143467 w 282476"/>
              <a:gd name="connsiteY31" fmla="*/ 180787 h 332023"/>
              <a:gd name="connsiteX32" fmla="*/ 199947 w 282476"/>
              <a:gd name="connsiteY32" fmla="*/ 194037 h 332023"/>
              <a:gd name="connsiteX33" fmla="*/ 222539 w 282476"/>
              <a:gd name="connsiteY33" fmla="*/ 232960 h 332023"/>
              <a:gd name="connsiteX34" fmla="*/ 200013 w 282476"/>
              <a:gd name="connsiteY34" fmla="*/ 271220 h 3320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</a:cxnLst>
            <a:rect l="l" t="t" r="r" b="b"/>
            <a:pathLst>
              <a:path w="282476" h="332023">
                <a:moveTo>
                  <a:pt x="238704" y="29832"/>
                </a:moveTo>
                <a:cubicBezTo>
                  <a:pt x="225248" y="19444"/>
                  <a:pt x="209904" y="11772"/>
                  <a:pt x="193520" y="7241"/>
                </a:cubicBezTo>
                <a:cubicBezTo>
                  <a:pt x="176053" y="2358"/>
                  <a:pt x="157993" y="-70"/>
                  <a:pt x="139856" y="19"/>
                </a:cubicBezTo>
                <a:cubicBezTo>
                  <a:pt x="112703" y="-405"/>
                  <a:pt x="85901" y="6191"/>
                  <a:pt x="62044" y="19166"/>
                </a:cubicBezTo>
                <a:cubicBezTo>
                  <a:pt x="38820" y="32151"/>
                  <a:pt x="20673" y="52620"/>
                  <a:pt x="10567" y="77235"/>
                </a:cubicBezTo>
                <a:lnTo>
                  <a:pt x="58897" y="104829"/>
                </a:lnTo>
                <a:cubicBezTo>
                  <a:pt x="64737" y="89840"/>
                  <a:pt x="75175" y="77086"/>
                  <a:pt x="88710" y="68391"/>
                </a:cubicBezTo>
                <a:cubicBezTo>
                  <a:pt x="102292" y="59556"/>
                  <a:pt x="118921" y="55140"/>
                  <a:pt x="138598" y="55140"/>
                </a:cubicBezTo>
                <a:cubicBezTo>
                  <a:pt x="152663" y="54952"/>
                  <a:pt x="166629" y="57519"/>
                  <a:pt x="179707" y="62693"/>
                </a:cubicBezTo>
                <a:cubicBezTo>
                  <a:pt x="191927" y="67592"/>
                  <a:pt x="202335" y="76142"/>
                  <a:pt x="209520" y="87173"/>
                </a:cubicBezTo>
                <a:cubicBezTo>
                  <a:pt x="217073" y="98459"/>
                  <a:pt x="220839" y="113309"/>
                  <a:pt x="220816" y="131727"/>
                </a:cubicBezTo>
                <a:lnTo>
                  <a:pt x="220816" y="167304"/>
                </a:lnTo>
                <a:cubicBezTo>
                  <a:pt x="218650" y="164966"/>
                  <a:pt x="216347" y="162753"/>
                  <a:pt x="213926" y="160679"/>
                </a:cubicBezTo>
                <a:cubicBezTo>
                  <a:pt x="194249" y="143520"/>
                  <a:pt x="165794" y="134941"/>
                  <a:pt x="128561" y="134941"/>
                </a:cubicBezTo>
                <a:cubicBezTo>
                  <a:pt x="106300" y="134666"/>
                  <a:pt x="84179" y="138495"/>
                  <a:pt x="63303" y="146236"/>
                </a:cubicBezTo>
                <a:cubicBezTo>
                  <a:pt x="44971" y="152809"/>
                  <a:pt x="28889" y="164459"/>
                  <a:pt x="16927" y="179826"/>
                </a:cubicBezTo>
                <a:cubicBezTo>
                  <a:pt x="-5532" y="211922"/>
                  <a:pt x="-5652" y="254604"/>
                  <a:pt x="16629" y="286822"/>
                </a:cubicBezTo>
                <a:cubicBezTo>
                  <a:pt x="28325" y="301951"/>
                  <a:pt x="43954" y="313571"/>
                  <a:pt x="61812" y="320412"/>
                </a:cubicBezTo>
                <a:cubicBezTo>
                  <a:pt x="82089" y="328382"/>
                  <a:pt x="103726" y="332317"/>
                  <a:pt x="125513" y="332006"/>
                </a:cubicBezTo>
                <a:cubicBezTo>
                  <a:pt x="163187" y="332006"/>
                  <a:pt x="192271" y="323118"/>
                  <a:pt x="212766" y="305340"/>
                </a:cubicBezTo>
                <a:cubicBezTo>
                  <a:pt x="216914" y="301745"/>
                  <a:pt x="220700" y="297751"/>
                  <a:pt x="224062" y="293414"/>
                </a:cubicBezTo>
                <a:lnTo>
                  <a:pt x="224062" y="325116"/>
                </a:lnTo>
                <a:lnTo>
                  <a:pt x="282430" y="325116"/>
                </a:lnTo>
                <a:lnTo>
                  <a:pt x="282430" y="126195"/>
                </a:lnTo>
                <a:cubicBezTo>
                  <a:pt x="282963" y="106479"/>
                  <a:pt x="278879" y="86911"/>
                  <a:pt x="270505" y="69053"/>
                </a:cubicBezTo>
                <a:cubicBezTo>
                  <a:pt x="262995" y="53749"/>
                  <a:pt x="252123" y="40343"/>
                  <a:pt x="238704" y="29832"/>
                </a:cubicBezTo>
                <a:close/>
                <a:moveTo>
                  <a:pt x="200013" y="271220"/>
                </a:moveTo>
                <a:cubicBezTo>
                  <a:pt x="184931" y="280055"/>
                  <a:pt x="166102" y="284470"/>
                  <a:pt x="143534" y="284470"/>
                </a:cubicBezTo>
                <a:cubicBezTo>
                  <a:pt x="120521" y="284470"/>
                  <a:pt x="101374" y="280055"/>
                  <a:pt x="86093" y="271220"/>
                </a:cubicBezTo>
                <a:cubicBezTo>
                  <a:pt x="70813" y="262385"/>
                  <a:pt x="63160" y="249612"/>
                  <a:pt x="63137" y="232893"/>
                </a:cubicBezTo>
                <a:cubicBezTo>
                  <a:pt x="62462" y="216466"/>
                  <a:pt x="71395" y="201142"/>
                  <a:pt x="86027" y="193639"/>
                </a:cubicBezTo>
                <a:cubicBezTo>
                  <a:pt x="101308" y="185093"/>
                  <a:pt x="120455" y="180810"/>
                  <a:pt x="143467" y="180787"/>
                </a:cubicBezTo>
                <a:cubicBezTo>
                  <a:pt x="166059" y="180787"/>
                  <a:pt x="184884" y="185202"/>
                  <a:pt x="199947" y="194037"/>
                </a:cubicBezTo>
                <a:cubicBezTo>
                  <a:pt x="214310" y="201616"/>
                  <a:pt x="223082" y="216731"/>
                  <a:pt x="222539" y="232960"/>
                </a:cubicBezTo>
                <a:cubicBezTo>
                  <a:pt x="222582" y="249632"/>
                  <a:pt x="215075" y="262385"/>
                  <a:pt x="200013" y="271220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</xdr:grpSp>
    <xdr:clientData/>
  </xdr:twoCellAnchor>
  <xdr:twoCellAnchor editAs="oneCell">
    <xdr:from>
      <xdr:col>0</xdr:col>
      <xdr:colOff>213360</xdr:colOff>
      <xdr:row>142</xdr:row>
      <xdr:rowOff>91440</xdr:rowOff>
    </xdr:from>
    <xdr:to>
      <xdr:col>23</xdr:col>
      <xdr:colOff>99060</xdr:colOff>
      <xdr:row>160</xdr:row>
      <xdr:rowOff>103479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B80DC8C-1313-4C57-9474-C1DD5A50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" y="27713940"/>
          <a:ext cx="19030950" cy="34410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76200</xdr:rowOff>
    </xdr:from>
    <xdr:ext cx="1495425" cy="657425"/>
    <xdr:pic>
      <xdr:nvPicPr>
        <xdr:cNvPr id="2" name="image1.jpeg">
          <a:extLst>
            <a:ext uri="{FF2B5EF4-FFF2-40B4-BE49-F238E27FC236}">
              <a16:creationId xmlns:a16="http://schemas.microsoft.com/office/drawing/2014/main" id="{B60979AD-F52A-4447-A69F-3EC2D1EB6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6200"/>
          <a:ext cx="1495425" cy="657425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0</xdr:row>
      <xdr:rowOff>76200</xdr:rowOff>
    </xdr:from>
    <xdr:ext cx="1495425" cy="657425"/>
    <xdr:pic>
      <xdr:nvPicPr>
        <xdr:cNvPr id="3" name="image1.jpeg">
          <a:extLst>
            <a:ext uri="{FF2B5EF4-FFF2-40B4-BE49-F238E27FC236}">
              <a16:creationId xmlns:a16="http://schemas.microsoft.com/office/drawing/2014/main" id="{8DCAC65C-EC38-4FF4-83F5-684D57B5B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6200"/>
          <a:ext cx="1495425" cy="657425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</xdr:row>
      <xdr:rowOff>76200</xdr:rowOff>
    </xdr:from>
    <xdr:ext cx="1495425" cy="657425"/>
    <xdr:pic>
      <xdr:nvPicPr>
        <xdr:cNvPr id="4" name="image1.jpeg">
          <a:extLst>
            <a:ext uri="{FF2B5EF4-FFF2-40B4-BE49-F238E27FC236}">
              <a16:creationId xmlns:a16="http://schemas.microsoft.com/office/drawing/2014/main" id="{2D718DD2-06AA-4CD8-9CC0-D9E80C16B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6200"/>
          <a:ext cx="1495425" cy="657425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</xdr:row>
      <xdr:rowOff>76200</xdr:rowOff>
    </xdr:from>
    <xdr:ext cx="1495425" cy="657425"/>
    <xdr:pic>
      <xdr:nvPicPr>
        <xdr:cNvPr id="5" name="image1.jpeg">
          <a:extLst>
            <a:ext uri="{FF2B5EF4-FFF2-40B4-BE49-F238E27FC236}">
              <a16:creationId xmlns:a16="http://schemas.microsoft.com/office/drawing/2014/main" id="{C551CE62-E65B-4AAF-A3A9-509DEF472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6200"/>
          <a:ext cx="1495425" cy="657425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74</xdr:row>
      <xdr:rowOff>76200</xdr:rowOff>
    </xdr:from>
    <xdr:ext cx="1495425" cy="657425"/>
    <xdr:pic>
      <xdr:nvPicPr>
        <xdr:cNvPr id="6" name="image1.jpeg">
          <a:extLst>
            <a:ext uri="{FF2B5EF4-FFF2-40B4-BE49-F238E27FC236}">
              <a16:creationId xmlns:a16="http://schemas.microsoft.com/office/drawing/2014/main" id="{37F09864-A8F1-4A31-8415-EB1E5A669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6200"/>
          <a:ext cx="1495425" cy="657425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74</xdr:row>
      <xdr:rowOff>76200</xdr:rowOff>
    </xdr:from>
    <xdr:ext cx="1495425" cy="657425"/>
    <xdr:pic>
      <xdr:nvPicPr>
        <xdr:cNvPr id="7" name="image1.jpeg">
          <a:extLst>
            <a:ext uri="{FF2B5EF4-FFF2-40B4-BE49-F238E27FC236}">
              <a16:creationId xmlns:a16="http://schemas.microsoft.com/office/drawing/2014/main" id="{E9F12B40-BA3D-4C7E-8B48-7438ED698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6200"/>
          <a:ext cx="1495425" cy="65742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6D33B-41B5-4031-B92A-F8061C3BDA89}" name="Tabla1" displayName="Tabla1" ref="A1:Z137" totalsRowShown="0" headerRowDxfId="32" dataDxfId="31">
  <autoFilter ref="A1:Z137" xr:uid="{1156D33B-41B5-4031-B92A-F8061C3BDA89}"/>
  <tableColumns count="26">
    <tableColumn id="1" xr3:uid="{A8AB5A73-F06E-42BE-A9C3-80EB8E1D8551}" name="COMERCIALIZADORA" dataDxfId="30"/>
    <tableColumn id="3" xr3:uid="{3A6FDE95-EFE9-4602-8C9A-3C3F4B976107}" name="TIPO" dataDxfId="29"/>
    <tableColumn id="20" xr3:uid="{923B95AE-1F32-4B90-8846-0EFACDF5536A}" name="ENERGIA" dataDxfId="28"/>
    <tableColumn id="2" xr3:uid="{96DE77AE-7B19-4960-B903-89488A452390}" name="TARIFA" dataDxfId="27"/>
    <tableColumn id="4" xr3:uid="{FF178112-98A2-4826-B1DB-16BE27DD72E3}" name="PEAJE" dataDxfId="26"/>
    <tableColumn id="5" xr3:uid="{2F75D2E5-EC92-497A-9BEC-2534F79F2486}" name="POTENCIA 1" dataDxfId="25"/>
    <tableColumn id="6" xr3:uid="{33973CBA-8773-4525-86E2-E6DE0138CFC3}" name="POTENCIA 2" dataDxfId="24"/>
    <tableColumn id="7" xr3:uid="{06BB93F8-E71C-417F-8B71-D4EEC46955DD}" name="POTENCIA 3" dataDxfId="23"/>
    <tableColumn id="8" xr3:uid="{D86F6E72-1403-4ADA-82EA-37F3C71CD4FA}" name="POTENCIA 4" dataDxfId="22"/>
    <tableColumn id="9" xr3:uid="{C8DEB19F-A608-4F3F-926B-15B00E459B0D}" name="POTENCIA 5" dataDxfId="21"/>
    <tableColumn id="10" xr3:uid="{7F8FEEDA-5A12-4732-B5BF-9B3B84324BC7}" name="POTENCIA 6" dataDxfId="20"/>
    <tableColumn id="21" xr3:uid="{CE2894D0-8F3F-4F24-B9A0-35E105602A38}" name="T. FIJO GAS" dataDxfId="19">
      <calculatedColumnFormula>5.150809*0.0328767123287671</calculatedColumnFormula>
    </tableColumn>
    <tableColumn id="11" xr3:uid="{3459575A-8169-4C66-BECB-6F6F0C9D7F8B}" name="ENERGIA 1" dataDxfId="18"/>
    <tableColumn id="12" xr3:uid="{AABE3E12-17F3-4898-B646-7E85CDF12609}" name="ENERGIA 2" dataDxfId="17"/>
    <tableColumn id="13" xr3:uid="{2B5B18DF-719D-4207-8093-2D8B2DB65493}" name="ENERGIA 3" dataDxfId="16"/>
    <tableColumn id="14" xr3:uid="{317EDA64-647E-466E-A351-EC6EC30BE528}" name="ENERGIA 4" dataDxfId="15"/>
    <tableColumn id="15" xr3:uid="{EBFF8DAC-0E4E-449B-BB8F-25B252420B4A}" name="ENERGIA 5" dataDxfId="14"/>
    <tableColumn id="16" xr3:uid="{D6800302-4791-470A-AC1F-68ED93AE6E53}" name="ENERGIA 6" dataDxfId="13"/>
    <tableColumn id="22" xr3:uid="{F9B17291-C554-452B-A4D4-4AD9E21B5B7C}" name="T. VARIABLE GAS" dataDxfId="12"/>
    <tableColumn id="17" xr3:uid="{B6B2463F-9F48-4529-AAD0-6C9BB3004A21}" name="DESCUENTO" dataDxfId="11"/>
    <tableColumn id="18" xr3:uid="{B2BBBBB5-D73C-404C-B733-18863DFFF0F3}" name="OBJERVACIONES DESCUENTOS" dataDxfId="10"/>
    <tableColumn id="23" xr3:uid="{81B7692C-3B1C-41F3-8705-026F35227242}" name="COMISION" dataDxfId="9" dataCellStyle="Porcentaje"/>
    <tableColumn id="24" xr3:uid="{C4266F53-39BF-4B49-BFD9-156DFFBAA64E}" name="PERMANENCIA" dataDxfId="8" dataCellStyle="Porcentaje"/>
    <tableColumn id="26" xr3:uid="{45562048-0D86-458E-9F1A-5A209A549025}" name="EXCEDENTES" dataDxfId="7" dataCellStyle="Porcentaje"/>
    <tableColumn id="25" xr3:uid="{91655659-8FFC-42CD-900A-5C2A446296AF}" name="BATERIA VIRTUAL" dataDxfId="6" dataCellStyle="Porcentaje"/>
    <tableColumn id="19" xr3:uid="{375D53FF-BFD2-4E62-8A29-51D24DEBBCE4}" name="FECHA CARGA" dataDxfId="5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3695-6643-4FFD-A1E1-EC02EF9877A2}">
  <dimension ref="A1:Z137"/>
  <sheetViews>
    <sheetView tabSelected="1" topLeftCell="A97" workbookViewId="0">
      <selection activeCell="W137" sqref="W137"/>
    </sheetView>
  </sheetViews>
  <sheetFormatPr baseColWidth="10" defaultRowHeight="12.75"/>
  <cols>
    <col min="1" max="1" width="21.85546875" style="1" bestFit="1" customWidth="1"/>
    <col min="2" max="2" width="12.7109375" style="1" bestFit="1" customWidth="1"/>
    <col min="3" max="3" width="12.28515625" style="1" bestFit="1" customWidth="1"/>
    <col min="4" max="4" width="42" style="1" bestFit="1" customWidth="1"/>
    <col min="5" max="5" width="10" style="1" bestFit="1" customWidth="1"/>
    <col min="6" max="11" width="16.5703125" style="1" bestFit="1" customWidth="1"/>
    <col min="12" max="12" width="14" style="1" bestFit="1" customWidth="1"/>
    <col min="13" max="13" width="15.5703125" style="1" bestFit="1" customWidth="1"/>
    <col min="14" max="18" width="14.5703125" style="1" bestFit="1" customWidth="1"/>
    <col min="19" max="19" width="18.42578125" style="1" bestFit="1" customWidth="1"/>
    <col min="20" max="20" width="22.140625" style="1" bestFit="1" customWidth="1"/>
    <col min="21" max="21" width="61.140625" style="1" bestFit="1" customWidth="1"/>
    <col min="22" max="22" width="20" style="1" bestFit="1" customWidth="1"/>
    <col min="23" max="25" width="20" style="1" customWidth="1"/>
    <col min="26" max="26" width="19.42578125" style="1" bestFit="1" customWidth="1"/>
    <col min="27" max="16384" width="11.42578125" style="1"/>
  </cols>
  <sheetData>
    <row r="1" spans="1:26">
      <c r="A1" s="1" t="s">
        <v>0</v>
      </c>
      <c r="B1" s="1" t="s">
        <v>2</v>
      </c>
      <c r="C1" s="1" t="s">
        <v>23</v>
      </c>
      <c r="D1" s="1" t="s">
        <v>1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169</v>
      </c>
      <c r="M1" s="1" t="s">
        <v>4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170</v>
      </c>
      <c r="T1" s="1" t="s">
        <v>177</v>
      </c>
      <c r="U1" s="1" t="s">
        <v>329</v>
      </c>
      <c r="V1" s="1" t="s">
        <v>172</v>
      </c>
      <c r="W1" s="1" t="s">
        <v>324</v>
      </c>
      <c r="X1" s="1" t="s">
        <v>326</v>
      </c>
      <c r="Y1" s="1" t="s">
        <v>327</v>
      </c>
      <c r="Z1" s="1" t="s">
        <v>21</v>
      </c>
    </row>
    <row r="2" spans="1:26">
      <c r="A2" s="1" t="s">
        <v>16</v>
      </c>
      <c r="B2" s="1" t="s">
        <v>18</v>
      </c>
      <c r="C2" s="1" t="s">
        <v>24</v>
      </c>
      <c r="D2" s="124" t="s">
        <v>17</v>
      </c>
      <c r="E2" s="123" t="s">
        <v>19</v>
      </c>
      <c r="F2" s="4">
        <v>0.11028300000000001</v>
      </c>
      <c r="G2" s="4">
        <v>3.3468999999999999E-2</v>
      </c>
      <c r="L2" s="125"/>
      <c r="M2" s="3">
        <v>0.12047099999999999</v>
      </c>
      <c r="N2" s="3">
        <v>0.12047099999999999</v>
      </c>
      <c r="O2" s="3">
        <v>0.12047099999999999</v>
      </c>
      <c r="T2" s="2"/>
      <c r="U2" s="2"/>
      <c r="V2" s="126">
        <v>70</v>
      </c>
      <c r="W2" s="297">
        <v>0</v>
      </c>
      <c r="X2" s="298">
        <v>7.0000000000000007E-2</v>
      </c>
      <c r="Y2" s="297" t="s">
        <v>328</v>
      </c>
      <c r="Z2" s="1" t="s">
        <v>22</v>
      </c>
    </row>
    <row r="3" spans="1:26">
      <c r="A3" s="1" t="s">
        <v>16</v>
      </c>
      <c r="B3" s="1" t="s">
        <v>18</v>
      </c>
      <c r="C3" s="1" t="s">
        <v>24</v>
      </c>
      <c r="D3" s="124" t="s">
        <v>20</v>
      </c>
      <c r="E3" s="123" t="s">
        <v>19</v>
      </c>
      <c r="F3" s="4">
        <v>0.11028300000000001</v>
      </c>
      <c r="G3" s="4">
        <v>3.3468999999999999E-2</v>
      </c>
      <c r="L3" s="125"/>
      <c r="M3" s="3">
        <v>0.190465</v>
      </c>
      <c r="N3" s="3">
        <v>0.11751200000000001</v>
      </c>
      <c r="O3" s="3">
        <v>8.2672999999999996E-2</v>
      </c>
      <c r="T3" s="2"/>
      <c r="U3" s="2"/>
      <c r="V3" s="126">
        <v>70</v>
      </c>
      <c r="W3" s="297">
        <v>0</v>
      </c>
      <c r="X3" s="298">
        <v>7.0000000000000007E-2</v>
      </c>
      <c r="Y3" s="297" t="s">
        <v>328</v>
      </c>
      <c r="Z3" s="1" t="s">
        <v>22</v>
      </c>
    </row>
    <row r="4" spans="1:26">
      <c r="A4" s="1" t="s">
        <v>16</v>
      </c>
      <c r="B4" s="1" t="s">
        <v>159</v>
      </c>
      <c r="C4" s="1" t="s">
        <v>24</v>
      </c>
      <c r="D4" s="124" t="s">
        <v>165</v>
      </c>
      <c r="E4" s="123" t="s">
        <v>19</v>
      </c>
      <c r="F4" s="4">
        <f>+'Naturgy Pymes'!F17</f>
        <v>0.12297297534246576</v>
      </c>
      <c r="G4" s="4">
        <f>+'Naturgy Pymes'!G17</f>
        <v>4.3976021917808222E-2</v>
      </c>
      <c r="L4" s="125"/>
      <c r="M4" s="3">
        <f>+'Naturgy Pymes'!S17</f>
        <v>0.19096399999999999</v>
      </c>
      <c r="N4" s="3">
        <f>+'Naturgy Pymes'!T17</f>
        <v>0.117811</v>
      </c>
      <c r="O4" s="3">
        <f>+'Naturgy Pymes'!U17</f>
        <v>8.2473000000000005E-2</v>
      </c>
      <c r="T4" s="2"/>
      <c r="U4" s="2"/>
      <c r="V4" s="2" t="s">
        <v>173</v>
      </c>
      <c r="W4" s="297" t="s">
        <v>325</v>
      </c>
      <c r="X4" s="298">
        <v>7.0000000000000007E-2</v>
      </c>
      <c r="Y4" s="297" t="s">
        <v>328</v>
      </c>
      <c r="Z4" s="1" t="s">
        <v>22</v>
      </c>
    </row>
    <row r="5" spans="1:26">
      <c r="A5" s="1" t="s">
        <v>16</v>
      </c>
      <c r="B5" s="1" t="s">
        <v>159</v>
      </c>
      <c r="C5" s="1" t="s">
        <v>24</v>
      </c>
      <c r="D5" s="124" t="s">
        <v>166</v>
      </c>
      <c r="E5" s="123" t="s">
        <v>19</v>
      </c>
      <c r="F5" s="4">
        <f>+'Naturgy Pymes'!F17</f>
        <v>0.12297297534246576</v>
      </c>
      <c r="G5" s="4">
        <f>+'Naturgy Pymes'!G17</f>
        <v>4.3976021917808222E-2</v>
      </c>
      <c r="L5" s="125"/>
      <c r="M5" s="3">
        <f>+'Naturgy Pymes'!L17</f>
        <v>0.20646400000000001</v>
      </c>
      <c r="N5" s="3">
        <f>+'Naturgy Pymes'!M17</f>
        <v>0.13331100000000001</v>
      </c>
      <c r="O5" s="3">
        <f>+'Naturgy Pymes'!N17</f>
        <v>9.7973000000000005E-2</v>
      </c>
      <c r="T5" s="2"/>
      <c r="U5" s="2"/>
      <c r="V5" s="2" t="s">
        <v>173</v>
      </c>
      <c r="W5" s="297" t="s">
        <v>325</v>
      </c>
      <c r="X5" s="298">
        <v>7.0000000000000007E-2</v>
      </c>
      <c r="Y5" s="297" t="s">
        <v>328</v>
      </c>
      <c r="Z5" s="1" t="s">
        <v>22</v>
      </c>
    </row>
    <row r="6" spans="1:26">
      <c r="A6" s="1" t="s">
        <v>16</v>
      </c>
      <c r="B6" s="1" t="s">
        <v>159</v>
      </c>
      <c r="C6" s="1" t="s">
        <v>24</v>
      </c>
      <c r="D6" s="124" t="s">
        <v>167</v>
      </c>
      <c r="E6" s="123" t="s">
        <v>19</v>
      </c>
      <c r="F6" s="4">
        <f>+'Naturgy Pymes'!F17</f>
        <v>0.12297297534246576</v>
      </c>
      <c r="G6" s="4">
        <f>+'Naturgy Pymes'!G17</f>
        <v>4.3976021917808222E-2</v>
      </c>
      <c r="L6" s="125"/>
      <c r="M6" s="3">
        <f>+'Naturgy Pymes'!Z17</f>
        <v>0.21946499999999999</v>
      </c>
      <c r="N6" s="3">
        <f>+'Naturgy Pymes'!AA17</f>
        <v>0.146312</v>
      </c>
      <c r="O6" s="3">
        <f>+'Naturgy Pymes'!AB17</f>
        <v>0.110973</v>
      </c>
      <c r="T6" s="2"/>
      <c r="U6" s="2"/>
      <c r="V6" s="2" t="s">
        <v>173</v>
      </c>
      <c r="W6" s="297" t="s">
        <v>325</v>
      </c>
      <c r="X6" s="298">
        <v>7.0000000000000007E-2</v>
      </c>
      <c r="Y6" s="297" t="s">
        <v>328</v>
      </c>
      <c r="Z6" s="1" t="s">
        <v>22</v>
      </c>
    </row>
    <row r="7" spans="1:26">
      <c r="A7" s="1" t="s">
        <v>16</v>
      </c>
      <c r="B7" s="1" t="s">
        <v>159</v>
      </c>
      <c r="C7" s="1" t="s">
        <v>24</v>
      </c>
      <c r="D7" s="124" t="s">
        <v>160</v>
      </c>
      <c r="E7" s="123" t="s">
        <v>19</v>
      </c>
      <c r="F7" s="4">
        <f>+'Naturgy Pymes'!F10</f>
        <v>0.12297297534246576</v>
      </c>
      <c r="G7" s="4">
        <f>+'Naturgy Pymes'!G10</f>
        <v>4.3976021917808222E-2</v>
      </c>
      <c r="L7" s="125"/>
      <c r="M7" s="3">
        <f>+'Naturgy Pymes'!S10</f>
        <v>0.120671</v>
      </c>
      <c r="N7" s="3">
        <f>+'Naturgy Pymes'!S10</f>
        <v>0.120671</v>
      </c>
      <c r="O7" s="3">
        <f>+'Naturgy Pymes'!S10</f>
        <v>0.120671</v>
      </c>
      <c r="T7" s="2"/>
      <c r="U7" s="2"/>
      <c r="V7" s="2" t="s">
        <v>173</v>
      </c>
      <c r="W7" s="297" t="s">
        <v>325</v>
      </c>
      <c r="X7" s="298">
        <v>7.0000000000000007E-2</v>
      </c>
      <c r="Y7" s="297" t="s">
        <v>328</v>
      </c>
      <c r="Z7" s="1" t="s">
        <v>22</v>
      </c>
    </row>
    <row r="8" spans="1:26">
      <c r="A8" s="1" t="s">
        <v>16</v>
      </c>
      <c r="B8" s="1" t="s">
        <v>159</v>
      </c>
      <c r="C8" s="1" t="s">
        <v>24</v>
      </c>
      <c r="D8" s="124" t="s">
        <v>161</v>
      </c>
      <c r="E8" s="123" t="s">
        <v>19</v>
      </c>
      <c r="F8" s="4">
        <f>+'Naturgy Pymes'!F10</f>
        <v>0.12297297534246576</v>
      </c>
      <c r="G8" s="4">
        <f>+'Naturgy Pymes'!G10</f>
        <v>4.3976021917808222E-2</v>
      </c>
      <c r="L8" s="125"/>
      <c r="M8" s="3">
        <f>+'Naturgy Pymes'!L10</f>
        <v>0.13617099999999999</v>
      </c>
      <c r="N8" s="3">
        <f>+'Naturgy Pymes'!L10</f>
        <v>0.13617099999999999</v>
      </c>
      <c r="O8" s="3">
        <f>+'Naturgy Pymes'!L10</f>
        <v>0.13617099999999999</v>
      </c>
      <c r="T8" s="2"/>
      <c r="U8" s="2"/>
      <c r="V8" s="2" t="s">
        <v>173</v>
      </c>
      <c r="W8" s="297" t="s">
        <v>325</v>
      </c>
      <c r="X8" s="298">
        <v>7.0000000000000007E-2</v>
      </c>
      <c r="Y8" s="297" t="s">
        <v>328</v>
      </c>
      <c r="Z8" s="1" t="s">
        <v>22</v>
      </c>
    </row>
    <row r="9" spans="1:26">
      <c r="A9" s="1" t="s">
        <v>16</v>
      </c>
      <c r="B9" s="1" t="s">
        <v>159</v>
      </c>
      <c r="C9" s="1" t="s">
        <v>24</v>
      </c>
      <c r="D9" s="124" t="s">
        <v>162</v>
      </c>
      <c r="E9" s="123" t="s">
        <v>19</v>
      </c>
      <c r="F9" s="4">
        <f>+'Naturgy Pymes'!F10</f>
        <v>0.12297297534246576</v>
      </c>
      <c r="G9" s="4">
        <f>+'Naturgy Pymes'!G10</f>
        <v>4.3976021917808222E-2</v>
      </c>
      <c r="L9" s="125"/>
      <c r="M9" s="3">
        <f>+'Naturgy Pymes'!Z10</f>
        <v>0.149171</v>
      </c>
      <c r="N9" s="3">
        <f>+'Naturgy Pymes'!Z10</f>
        <v>0.149171</v>
      </c>
      <c r="O9" s="3">
        <f>+'Naturgy Pymes'!Z10</f>
        <v>0.149171</v>
      </c>
      <c r="T9" s="2"/>
      <c r="U9" s="2"/>
      <c r="V9" s="2" t="s">
        <v>173</v>
      </c>
      <c r="W9" s="297" t="s">
        <v>325</v>
      </c>
      <c r="X9" s="298">
        <v>7.0000000000000007E-2</v>
      </c>
      <c r="Y9" s="297" t="s">
        <v>328</v>
      </c>
      <c r="Z9" s="1" t="s">
        <v>22</v>
      </c>
    </row>
    <row r="10" spans="1:26">
      <c r="A10" s="1" t="s">
        <v>16</v>
      </c>
      <c r="B10" s="1" t="s">
        <v>159</v>
      </c>
      <c r="C10" s="1" t="s">
        <v>24</v>
      </c>
      <c r="D10" s="124" t="s">
        <v>160</v>
      </c>
      <c r="E10" s="123" t="s">
        <v>163</v>
      </c>
      <c r="F10" s="4">
        <f>+'Naturgy Pymes'!F18</f>
        <v>5.792764931506849E-2</v>
      </c>
      <c r="G10" s="4">
        <f>+'Naturgy Pymes'!G18</f>
        <v>3.1189775342465753E-2</v>
      </c>
      <c r="H10" s="4">
        <f>+'Naturgy Pymes'!H18</f>
        <v>1.4378597260273972E-2</v>
      </c>
      <c r="I10" s="4">
        <f>+'Naturgy Pymes'!I18</f>
        <v>1.2747912328767125E-2</v>
      </c>
      <c r="J10" s="4">
        <f>+'Naturgy Pymes'!J18</f>
        <v>8.9877041095890401E-3</v>
      </c>
      <c r="K10" s="4">
        <f>+'Naturgy Pymes'!K18</f>
        <v>6.0519452054794516E-3</v>
      </c>
      <c r="L10" s="125"/>
      <c r="M10" s="3">
        <f>+'Naturgy Pymes'!S18</f>
        <v>0.18359300000000001</v>
      </c>
      <c r="N10" s="3">
        <f>+'Naturgy Pymes'!T18</f>
        <v>0.15801399999999999</v>
      </c>
      <c r="O10" s="3">
        <f>+'Naturgy Pymes'!U18</f>
        <v>0.13492499999999999</v>
      </c>
      <c r="P10" s="3">
        <f>+'Naturgy Pymes'!V18</f>
        <v>0.121236</v>
      </c>
      <c r="Q10" s="3">
        <f>+'Naturgy Pymes'!W18</f>
        <v>0.114444</v>
      </c>
      <c r="R10" s="3">
        <f>+'Naturgy Pymes'!X18</f>
        <v>0.106808</v>
      </c>
      <c r="S10" s="3"/>
      <c r="T10" s="2"/>
      <c r="U10" s="2"/>
      <c r="V10" s="2" t="s">
        <v>173</v>
      </c>
      <c r="W10" s="297" t="s">
        <v>325</v>
      </c>
      <c r="X10" s="298">
        <v>7.0000000000000007E-2</v>
      </c>
      <c r="Y10" s="297" t="s">
        <v>328</v>
      </c>
      <c r="Z10" s="1" t="s">
        <v>22</v>
      </c>
    </row>
    <row r="11" spans="1:26">
      <c r="A11" s="1" t="s">
        <v>16</v>
      </c>
      <c r="B11" s="1" t="s">
        <v>159</v>
      </c>
      <c r="C11" s="1" t="s">
        <v>24</v>
      </c>
      <c r="D11" s="124" t="s">
        <v>161</v>
      </c>
      <c r="E11" s="123" t="s">
        <v>163</v>
      </c>
      <c r="F11" s="4">
        <f>+'Naturgy Pymes'!F18</f>
        <v>5.792764931506849E-2</v>
      </c>
      <c r="G11" s="4">
        <f>+'Naturgy Pymes'!G18</f>
        <v>3.1189775342465753E-2</v>
      </c>
      <c r="H11" s="4">
        <f>+'Naturgy Pymes'!H18</f>
        <v>1.4378597260273972E-2</v>
      </c>
      <c r="I11" s="4">
        <f>+'Naturgy Pymes'!I18</f>
        <v>1.2747912328767125E-2</v>
      </c>
      <c r="J11" s="4">
        <f>+'Naturgy Pymes'!J18</f>
        <v>8.9877041095890401E-3</v>
      </c>
      <c r="K11" s="4">
        <f>+'Naturgy Pymes'!K18</f>
        <v>6.0519452054794516E-3</v>
      </c>
      <c r="L11" s="125"/>
      <c r="M11" s="3">
        <f>+'Naturgy Pymes'!L18</f>
        <v>0.195993</v>
      </c>
      <c r="N11" s="3">
        <f>+'Naturgy Pymes'!M18</f>
        <v>0.17041400000000001</v>
      </c>
      <c r="O11" s="3">
        <f>+'Naturgy Pymes'!N18</f>
        <v>0.147424</v>
      </c>
      <c r="P11" s="3">
        <f>+'Naturgy Pymes'!O18</f>
        <v>0.13373599999999999</v>
      </c>
      <c r="Q11" s="3">
        <f>+'Naturgy Pymes'!P18</f>
        <v>0.12704299999999999</v>
      </c>
      <c r="R11" s="3">
        <f>+'Naturgy Pymes'!Q18</f>
        <v>0.11920799999999999</v>
      </c>
      <c r="S11" s="3"/>
      <c r="T11" s="2"/>
      <c r="U11" s="2"/>
      <c r="V11" s="2" t="s">
        <v>173</v>
      </c>
      <c r="W11" s="297" t="s">
        <v>325</v>
      </c>
      <c r="X11" s="298">
        <v>7.0000000000000007E-2</v>
      </c>
      <c r="Y11" s="297" t="s">
        <v>328</v>
      </c>
      <c r="Z11" s="1" t="s">
        <v>22</v>
      </c>
    </row>
    <row r="12" spans="1:26">
      <c r="A12" s="1" t="s">
        <v>16</v>
      </c>
      <c r="B12" s="1" t="s">
        <v>159</v>
      </c>
      <c r="C12" s="1" t="s">
        <v>24</v>
      </c>
      <c r="D12" s="124" t="s">
        <v>162</v>
      </c>
      <c r="E12" s="123" t="s">
        <v>163</v>
      </c>
      <c r="F12" s="4">
        <f>+'Naturgy Pymes'!F18</f>
        <v>5.792764931506849E-2</v>
      </c>
      <c r="G12" s="4">
        <f>+'Naturgy Pymes'!G18</f>
        <v>3.1189775342465753E-2</v>
      </c>
      <c r="H12" s="4">
        <f>+'Naturgy Pymes'!H18</f>
        <v>1.4378597260273972E-2</v>
      </c>
      <c r="I12" s="4">
        <f>+'Naturgy Pymes'!I18</f>
        <v>1.2747912328767125E-2</v>
      </c>
      <c r="J12" s="4">
        <f>+'Naturgy Pymes'!J18</f>
        <v>8.9877041095890401E-3</v>
      </c>
      <c r="K12" s="4">
        <f>+'Naturgy Pymes'!K18</f>
        <v>6.0519452054794516E-3</v>
      </c>
      <c r="L12" s="125"/>
      <c r="M12" s="3">
        <f>+'Naturgy Pymes'!Z18</f>
        <v>0.21549299999999999</v>
      </c>
      <c r="N12" s="3">
        <f>+'Naturgy Pymes'!AA18</f>
        <v>0.189914</v>
      </c>
      <c r="O12" s="3">
        <f>+'Naturgy Pymes'!AB18</f>
        <v>0.16692499999999999</v>
      </c>
      <c r="P12" s="3">
        <f>+'Naturgy Pymes'!AC18</f>
        <v>0.15323500000000001</v>
      </c>
      <c r="Q12" s="3">
        <f>+'Naturgy Pymes'!AD18</f>
        <v>0.14654300000000001</v>
      </c>
      <c r="R12" s="3">
        <f>+'Naturgy Pymes'!AE18</f>
        <v>0.138708</v>
      </c>
      <c r="S12" s="3"/>
      <c r="T12" s="2"/>
      <c r="U12" s="2"/>
      <c r="V12" s="2" t="s">
        <v>173</v>
      </c>
      <c r="W12" s="297" t="s">
        <v>325</v>
      </c>
      <c r="X12" s="298">
        <v>7.0000000000000007E-2</v>
      </c>
      <c r="Y12" s="297" t="s">
        <v>328</v>
      </c>
      <c r="Z12" s="1" t="s">
        <v>22</v>
      </c>
    </row>
    <row r="13" spans="1:26">
      <c r="A13" s="1" t="s">
        <v>16</v>
      </c>
      <c r="B13" s="1" t="s">
        <v>159</v>
      </c>
      <c r="C13" s="1" t="s">
        <v>24</v>
      </c>
      <c r="D13" s="124" t="s">
        <v>160</v>
      </c>
      <c r="E13" s="123" t="s">
        <v>164</v>
      </c>
      <c r="F13" s="4">
        <f>+'Naturgy Pymes'!F19</f>
        <v>8.1083210958904098E-2</v>
      </c>
      <c r="G13" s="4">
        <f>+'Naturgy Pymes'!G19</f>
        <v>4.2506038356164379E-2</v>
      </c>
      <c r="H13" s="4">
        <f>+'Naturgy Pymes'!H19</f>
        <v>1.8635276712328768E-2</v>
      </c>
      <c r="I13" s="4">
        <f>+'Naturgy Pymes'!I19</f>
        <v>1.4777621917808218E-2</v>
      </c>
      <c r="J13" s="4">
        <f>+'Naturgy Pymes'!J19</f>
        <v>5.8222356164383572E-3</v>
      </c>
      <c r="K13" s="4">
        <f>+'Naturgy Pymes'!K19</f>
        <v>2.7511890410958904E-3</v>
      </c>
      <c r="L13" s="125"/>
      <c r="M13" s="3"/>
      <c r="N13" s="3"/>
      <c r="O13" s="3"/>
      <c r="T13" s="2"/>
      <c r="U13" s="2"/>
      <c r="V13" s="2" t="s">
        <v>173</v>
      </c>
      <c r="W13" s="297" t="s">
        <v>325</v>
      </c>
      <c r="X13" s="298">
        <v>7.0000000000000007E-2</v>
      </c>
      <c r="Y13" s="297" t="s">
        <v>328</v>
      </c>
      <c r="Z13" s="1" t="s">
        <v>22</v>
      </c>
    </row>
    <row r="14" spans="1:26">
      <c r="A14" s="1" t="s">
        <v>16</v>
      </c>
      <c r="B14" s="1" t="s">
        <v>159</v>
      </c>
      <c r="C14" s="1" t="s">
        <v>24</v>
      </c>
      <c r="D14" s="124" t="s">
        <v>161</v>
      </c>
      <c r="E14" s="123" t="s">
        <v>164</v>
      </c>
      <c r="F14" s="4">
        <f>+'Naturgy Pymes'!F19</f>
        <v>8.1083210958904098E-2</v>
      </c>
      <c r="G14" s="4">
        <f>+'Naturgy Pymes'!G19</f>
        <v>4.2506038356164379E-2</v>
      </c>
      <c r="H14" s="4">
        <f>+'Naturgy Pymes'!H19</f>
        <v>1.8635276712328768E-2</v>
      </c>
      <c r="I14" s="4">
        <f>+'Naturgy Pymes'!I19</f>
        <v>1.4777621917808218E-2</v>
      </c>
      <c r="J14" s="4">
        <f>+'Naturgy Pymes'!J19</f>
        <v>5.8222356164383572E-3</v>
      </c>
      <c r="K14" s="4">
        <f>+'Naturgy Pymes'!K19</f>
        <v>2.7511890410958904E-3</v>
      </c>
      <c r="L14" s="125"/>
      <c r="M14" s="3"/>
      <c r="N14" s="3"/>
      <c r="O14" s="3"/>
      <c r="T14" s="2"/>
      <c r="U14" s="2"/>
      <c r="V14" s="2" t="s">
        <v>173</v>
      </c>
      <c r="W14" s="297" t="s">
        <v>325</v>
      </c>
      <c r="X14" s="298">
        <v>7.0000000000000007E-2</v>
      </c>
      <c r="Y14" s="297" t="s">
        <v>328</v>
      </c>
      <c r="Z14" s="1" t="s">
        <v>22</v>
      </c>
    </row>
    <row r="15" spans="1:26">
      <c r="A15" s="1" t="s">
        <v>16</v>
      </c>
      <c r="B15" s="1" t="s">
        <v>159</v>
      </c>
      <c r="C15" s="1" t="s">
        <v>24</v>
      </c>
      <c r="D15" s="124" t="s">
        <v>162</v>
      </c>
      <c r="E15" s="123" t="s">
        <v>164</v>
      </c>
      <c r="F15" s="4">
        <f>+'Naturgy Pymes'!F19</f>
        <v>8.1083210958904098E-2</v>
      </c>
      <c r="G15" s="4">
        <f>+'Naturgy Pymes'!G19</f>
        <v>4.2506038356164379E-2</v>
      </c>
      <c r="H15" s="4">
        <f>+'Naturgy Pymes'!H19</f>
        <v>1.8635276712328768E-2</v>
      </c>
      <c r="I15" s="4">
        <f>+'Naturgy Pymes'!I19</f>
        <v>1.4777621917808218E-2</v>
      </c>
      <c r="J15" s="4">
        <f>+'Naturgy Pymes'!J19</f>
        <v>5.8222356164383572E-3</v>
      </c>
      <c r="K15" s="4">
        <f>+'Naturgy Pymes'!K19</f>
        <v>2.7511890410958904E-3</v>
      </c>
      <c r="L15" s="125"/>
      <c r="M15" s="3"/>
      <c r="N15" s="3"/>
      <c r="O15" s="3"/>
      <c r="T15" s="2"/>
      <c r="U15" s="2"/>
      <c r="V15" s="2" t="s">
        <v>173</v>
      </c>
      <c r="W15" s="297" t="s">
        <v>325</v>
      </c>
      <c r="X15" s="298">
        <v>7.0000000000000007E-2</v>
      </c>
      <c r="Y15" s="297" t="s">
        <v>328</v>
      </c>
      <c r="Z15" s="1" t="s">
        <v>22</v>
      </c>
    </row>
    <row r="16" spans="1:26">
      <c r="A16" s="1" t="s">
        <v>16</v>
      </c>
      <c r="B16" s="1" t="s">
        <v>18</v>
      </c>
      <c r="C16" s="1" t="s">
        <v>102</v>
      </c>
      <c r="D16" s="124" t="s">
        <v>168</v>
      </c>
      <c r="E16" s="1" t="s">
        <v>112</v>
      </c>
      <c r="F16" s="4"/>
      <c r="G16" s="4"/>
      <c r="L16" s="125">
        <f t="shared" ref="L16" si="0">5.150809*0.0328767123287671</f>
        <v>0.16934166575342452</v>
      </c>
      <c r="M16" s="3"/>
      <c r="N16" s="3"/>
      <c r="O16" s="3"/>
      <c r="S16" s="3">
        <v>7.9533000000000006E-2</v>
      </c>
      <c r="T16" s="2"/>
      <c r="U16" s="2"/>
      <c r="V16" s="126">
        <v>70</v>
      </c>
      <c r="W16" s="297">
        <v>0</v>
      </c>
      <c r="X16" s="298"/>
      <c r="Y16" s="297"/>
      <c r="Z16" s="1" t="s">
        <v>22</v>
      </c>
    </row>
    <row r="17" spans="1:26">
      <c r="A17" s="1" t="s">
        <v>16</v>
      </c>
      <c r="B17" s="1" t="s">
        <v>18</v>
      </c>
      <c r="C17" s="1" t="s">
        <v>102</v>
      </c>
      <c r="D17" s="124" t="s">
        <v>168</v>
      </c>
      <c r="E17" s="1" t="s">
        <v>115</v>
      </c>
      <c r="F17" s="4"/>
      <c r="G17" s="4"/>
      <c r="L17" s="125">
        <f>9.149802*0.0328767123287671</f>
        <v>0.30081540821917785</v>
      </c>
      <c r="M17" s="3"/>
      <c r="N17" s="3"/>
      <c r="O17" s="3"/>
      <c r="S17" s="3">
        <v>7.7434000000000003E-2</v>
      </c>
      <c r="T17" s="2"/>
      <c r="U17" s="2"/>
      <c r="V17" s="126">
        <v>70</v>
      </c>
      <c r="W17" s="297">
        <v>0</v>
      </c>
      <c r="X17" s="298"/>
      <c r="Y17" s="297"/>
      <c r="Z17" s="1" t="s">
        <v>22</v>
      </c>
    </row>
    <row r="18" spans="1:26">
      <c r="A18" s="1" t="s">
        <v>16</v>
      </c>
      <c r="B18" s="1" t="s">
        <v>18</v>
      </c>
      <c r="C18" s="1" t="s">
        <v>102</v>
      </c>
      <c r="D18" s="124" t="s">
        <v>168</v>
      </c>
      <c r="E18" s="1" t="s">
        <v>117</v>
      </c>
      <c r="F18" s="4"/>
      <c r="G18" s="4"/>
      <c r="L18" s="125">
        <f>19.759738*0.0328767123287671</f>
        <v>0.64963522191780765</v>
      </c>
      <c r="M18" s="3"/>
      <c r="N18" s="3"/>
      <c r="O18" s="3"/>
      <c r="S18" s="3">
        <v>7.3993000000000003E-2</v>
      </c>
      <c r="T18" s="2"/>
      <c r="U18" s="2"/>
      <c r="V18" s="126">
        <v>70</v>
      </c>
      <c r="W18" s="297">
        <v>0</v>
      </c>
      <c r="X18" s="298"/>
      <c r="Y18" s="297"/>
      <c r="Z18" s="1" t="s">
        <v>22</v>
      </c>
    </row>
    <row r="19" spans="1:26">
      <c r="A19" s="1" t="s">
        <v>16</v>
      </c>
      <c r="B19" s="1" t="s">
        <v>159</v>
      </c>
      <c r="C19" s="1" t="s">
        <v>102</v>
      </c>
      <c r="D19" s="124" t="s">
        <v>123</v>
      </c>
      <c r="E19" s="1" t="s">
        <v>112</v>
      </c>
      <c r="F19" s="4"/>
      <c r="G19" s="4"/>
      <c r="L19" s="125">
        <f>+'Naturgy Pymes'!F66</f>
        <v>8.0382092712328768E-2</v>
      </c>
      <c r="M19" s="3"/>
      <c r="N19" s="3"/>
      <c r="O19" s="3"/>
      <c r="S19" s="3">
        <f>+'Naturgy Pymes'!H66</f>
        <v>6.0063999999999999E-2</v>
      </c>
      <c r="T19" s="2"/>
      <c r="U19" s="2"/>
      <c r="V19" s="2" t="s">
        <v>173</v>
      </c>
      <c r="W19" s="297" t="s">
        <v>325</v>
      </c>
      <c r="X19" s="298"/>
      <c r="Y19" s="297"/>
      <c r="Z19" s="1" t="s">
        <v>22</v>
      </c>
    </row>
    <row r="20" spans="1:26">
      <c r="A20" s="1" t="s">
        <v>16</v>
      </c>
      <c r="B20" s="1" t="s">
        <v>159</v>
      </c>
      <c r="C20" s="1" t="s">
        <v>102</v>
      </c>
      <c r="D20" s="124" t="s">
        <v>171</v>
      </c>
      <c r="E20" s="1" t="s">
        <v>112</v>
      </c>
      <c r="F20" s="4"/>
      <c r="G20" s="4"/>
      <c r="L20" s="125">
        <f>+'Naturgy Pymes'!F66</f>
        <v>8.0382092712328768E-2</v>
      </c>
      <c r="M20" s="3"/>
      <c r="N20" s="3"/>
      <c r="O20" s="3"/>
      <c r="S20" s="3">
        <f>+'Naturgy Pymes'!J66</f>
        <v>6.6164000000000001E-2</v>
      </c>
      <c r="T20" s="2"/>
      <c r="U20" s="2"/>
      <c r="V20" s="2" t="s">
        <v>173</v>
      </c>
      <c r="W20" s="297" t="s">
        <v>325</v>
      </c>
      <c r="X20" s="298"/>
      <c r="Y20" s="297"/>
      <c r="Z20" s="1" t="s">
        <v>22</v>
      </c>
    </row>
    <row r="21" spans="1:26">
      <c r="A21" s="1" t="s">
        <v>16</v>
      </c>
      <c r="B21" s="1" t="s">
        <v>159</v>
      </c>
      <c r="C21" s="1" t="s">
        <v>102</v>
      </c>
      <c r="D21" s="124" t="s">
        <v>123</v>
      </c>
      <c r="E21" s="1" t="s">
        <v>115</v>
      </c>
      <c r="F21" s="4"/>
      <c r="G21" s="4"/>
      <c r="L21" s="125">
        <f>+'Naturgy Pymes'!F67</f>
        <v>0.21185582991780824</v>
      </c>
      <c r="M21" s="3"/>
      <c r="N21" s="3"/>
      <c r="O21" s="3"/>
      <c r="S21" s="3">
        <f>+'Naturgy Pymes'!H67</f>
        <v>5.7964999999999996E-2</v>
      </c>
      <c r="T21" s="2"/>
      <c r="U21" s="2"/>
      <c r="V21" s="2" t="s">
        <v>173</v>
      </c>
      <c r="W21" s="297" t="s">
        <v>325</v>
      </c>
      <c r="X21" s="298"/>
      <c r="Y21" s="297"/>
      <c r="Z21" s="1" t="s">
        <v>22</v>
      </c>
    </row>
    <row r="22" spans="1:26">
      <c r="A22" s="1" t="s">
        <v>16</v>
      </c>
      <c r="B22" s="1" t="s">
        <v>159</v>
      </c>
      <c r="C22" s="1" t="s">
        <v>102</v>
      </c>
      <c r="D22" s="124" t="s">
        <v>171</v>
      </c>
      <c r="E22" s="1" t="s">
        <v>115</v>
      </c>
      <c r="F22" s="4"/>
      <c r="G22" s="4"/>
      <c r="L22" s="125">
        <f>+'Naturgy Pymes'!F67</f>
        <v>0.21185582991780824</v>
      </c>
      <c r="M22" s="3"/>
      <c r="N22" s="3"/>
      <c r="O22" s="3"/>
      <c r="S22" s="3">
        <f>+'Naturgy Pymes'!J67</f>
        <v>6.4064999999999997E-2</v>
      </c>
      <c r="T22" s="2"/>
      <c r="U22" s="2"/>
      <c r="V22" s="2" t="s">
        <v>173</v>
      </c>
      <c r="W22" s="297" t="s">
        <v>325</v>
      </c>
      <c r="X22" s="298"/>
      <c r="Y22" s="297"/>
      <c r="Z22" s="1" t="s">
        <v>22</v>
      </c>
    </row>
    <row r="23" spans="1:26">
      <c r="A23" s="1" t="s">
        <v>16</v>
      </c>
      <c r="B23" s="1" t="s">
        <v>159</v>
      </c>
      <c r="C23" s="1" t="s">
        <v>102</v>
      </c>
      <c r="D23" s="124" t="s">
        <v>123</v>
      </c>
      <c r="E23" s="1" t="s">
        <v>117</v>
      </c>
      <c r="F23" s="4"/>
      <c r="G23" s="4"/>
      <c r="L23" s="125">
        <f>+'Naturgy Pymes'!F68</f>
        <v>0.56067563769863016</v>
      </c>
      <c r="M23" s="3"/>
      <c r="N23" s="3"/>
      <c r="O23" s="3"/>
      <c r="S23" s="3">
        <f>+'Naturgy Pymes'!H68</f>
        <v>5.4524999999999997E-2</v>
      </c>
      <c r="T23" s="2"/>
      <c r="U23" s="2"/>
      <c r="V23" s="2" t="s">
        <v>173</v>
      </c>
      <c r="W23" s="297" t="s">
        <v>325</v>
      </c>
      <c r="X23" s="298"/>
      <c r="Y23" s="297"/>
      <c r="Z23" s="1" t="s">
        <v>22</v>
      </c>
    </row>
    <row r="24" spans="1:26">
      <c r="A24" s="1" t="s">
        <v>16</v>
      </c>
      <c r="B24" s="1" t="s">
        <v>159</v>
      </c>
      <c r="C24" s="1" t="s">
        <v>102</v>
      </c>
      <c r="D24" s="124" t="s">
        <v>171</v>
      </c>
      <c r="E24" s="1" t="s">
        <v>117</v>
      </c>
      <c r="F24" s="4"/>
      <c r="G24" s="4"/>
      <c r="L24" s="125">
        <f>+'Naturgy Pymes'!F68</f>
        <v>0.56067563769863016</v>
      </c>
      <c r="M24" s="3"/>
      <c r="N24" s="3"/>
      <c r="O24" s="3"/>
      <c r="S24" s="3">
        <f>+'Naturgy Pymes'!J68</f>
        <v>6.0624999999999998E-2</v>
      </c>
      <c r="T24" s="2"/>
      <c r="U24" s="2"/>
      <c r="V24" s="2" t="s">
        <v>173</v>
      </c>
      <c r="W24" s="297" t="s">
        <v>325</v>
      </c>
      <c r="X24" s="298"/>
      <c r="Y24" s="297"/>
      <c r="Z24" s="1" t="s">
        <v>22</v>
      </c>
    </row>
    <row r="25" spans="1:26">
      <c r="A25" s="1" t="s">
        <v>16</v>
      </c>
      <c r="B25" s="1" t="s">
        <v>159</v>
      </c>
      <c r="C25" s="1" t="s">
        <v>102</v>
      </c>
      <c r="D25" s="124" t="s">
        <v>123</v>
      </c>
      <c r="E25" s="1" t="s">
        <v>119</v>
      </c>
      <c r="F25" s="4"/>
      <c r="G25" s="4"/>
      <c r="L25" s="125">
        <f>+'Naturgy Pymes'!F69</f>
        <v>1.3686556132602741</v>
      </c>
      <c r="M25" s="3"/>
      <c r="N25" s="3"/>
      <c r="O25" s="3"/>
      <c r="S25" s="3">
        <f>+'Naturgy Pymes'!H69</f>
        <v>5.8609000000000001E-2</v>
      </c>
      <c r="T25" s="2"/>
      <c r="U25" s="2"/>
      <c r="V25" s="2" t="s">
        <v>173</v>
      </c>
      <c r="W25" s="297" t="s">
        <v>325</v>
      </c>
      <c r="X25" s="298"/>
      <c r="Y25" s="297"/>
      <c r="Z25" s="1" t="s">
        <v>22</v>
      </c>
    </row>
    <row r="26" spans="1:26">
      <c r="A26" s="1" t="s">
        <v>16</v>
      </c>
      <c r="B26" s="1" t="s">
        <v>159</v>
      </c>
      <c r="C26" s="1" t="s">
        <v>102</v>
      </c>
      <c r="D26" s="124" t="s">
        <v>171</v>
      </c>
      <c r="E26" s="1" t="s">
        <v>119</v>
      </c>
      <c r="F26" s="4"/>
      <c r="G26" s="4"/>
      <c r="L26" s="125">
        <f>+'Naturgy Pymes'!F69</f>
        <v>1.3686556132602741</v>
      </c>
      <c r="M26" s="3"/>
      <c r="N26" s="3"/>
      <c r="O26" s="3"/>
      <c r="S26" s="3">
        <f>+'Naturgy Pymes'!J69</f>
        <v>6.4709000000000003E-2</v>
      </c>
      <c r="T26" s="2"/>
      <c r="U26" s="2"/>
      <c r="V26" s="2" t="s">
        <v>173</v>
      </c>
      <c r="W26" s="297" t="s">
        <v>325</v>
      </c>
      <c r="X26" s="298"/>
      <c r="Y26" s="297"/>
      <c r="Z26" s="1" t="s">
        <v>22</v>
      </c>
    </row>
    <row r="27" spans="1:26">
      <c r="A27" s="1" t="s">
        <v>16</v>
      </c>
      <c r="B27" s="1" t="s">
        <v>159</v>
      </c>
      <c r="C27" s="1" t="s">
        <v>102</v>
      </c>
      <c r="D27" s="124" t="s">
        <v>123</v>
      </c>
      <c r="E27" s="1" t="s">
        <v>121</v>
      </c>
      <c r="F27" s="4"/>
      <c r="G27" s="4"/>
      <c r="L27" s="125">
        <f>+'Naturgy Pymes'!F70</f>
        <v>7.6385029153972601</v>
      </c>
      <c r="M27" s="3"/>
      <c r="N27" s="3"/>
      <c r="O27" s="3"/>
      <c r="S27" s="3">
        <f>+'Naturgy Pymes'!H70</f>
        <v>5.8545999999999994E-2</v>
      </c>
      <c r="T27" s="2"/>
      <c r="U27" s="2"/>
      <c r="V27" s="2" t="s">
        <v>173</v>
      </c>
      <c r="W27" s="297" t="s">
        <v>325</v>
      </c>
      <c r="X27" s="298"/>
      <c r="Y27" s="297"/>
      <c r="Z27" s="1" t="s">
        <v>22</v>
      </c>
    </row>
    <row r="28" spans="1:26">
      <c r="A28" s="1" t="s">
        <v>16</v>
      </c>
      <c r="B28" s="1" t="s">
        <v>159</v>
      </c>
      <c r="C28" s="1" t="s">
        <v>102</v>
      </c>
      <c r="D28" s="124" t="s">
        <v>171</v>
      </c>
      <c r="E28" s="1" t="s">
        <v>121</v>
      </c>
      <c r="F28" s="4"/>
      <c r="G28" s="4"/>
      <c r="L28" s="125">
        <f>+'Naturgy Pymes'!F69</f>
        <v>1.3686556132602741</v>
      </c>
      <c r="M28" s="3"/>
      <c r="N28" s="3"/>
      <c r="O28" s="3"/>
      <c r="S28" s="3">
        <f>+'Naturgy Pymes'!J69</f>
        <v>6.4709000000000003E-2</v>
      </c>
      <c r="T28" s="2"/>
      <c r="U28" s="2"/>
      <c r="V28" s="2" t="s">
        <v>173</v>
      </c>
      <c r="W28" s="297" t="s">
        <v>325</v>
      </c>
      <c r="X28" s="298"/>
      <c r="Y28" s="297"/>
      <c r="Z28" s="1" t="s">
        <v>22</v>
      </c>
    </row>
    <row r="29" spans="1:26">
      <c r="A29" s="1" t="s">
        <v>323</v>
      </c>
      <c r="B29" s="1" t="s">
        <v>18</v>
      </c>
      <c r="C29" s="1" t="s">
        <v>24</v>
      </c>
      <c r="D29" s="124" t="str">
        <f>+Iberdrola!B10</f>
        <v>2.0TD_2 Plan Exclusivo 15%TE/TP 1p</v>
      </c>
      <c r="E29" s="1" t="s">
        <v>19</v>
      </c>
      <c r="F29" s="4">
        <f>+Iberdrola!U10</f>
        <v>0.11778082191780823</v>
      </c>
      <c r="G29" s="4">
        <f>+Iberdrola!V10</f>
        <v>6.0246575342465747E-2</v>
      </c>
      <c r="L29" s="125"/>
      <c r="M29" s="3">
        <f>+Iberdrola!I10</f>
        <v>0.207647</v>
      </c>
      <c r="N29" s="3">
        <f>+Iberdrola!I10</f>
        <v>0.207647</v>
      </c>
      <c r="O29" s="3">
        <f>+Iberdrola!I10</f>
        <v>0.207647</v>
      </c>
      <c r="S29" s="3"/>
      <c r="T29" s="2">
        <v>0.15</v>
      </c>
      <c r="U29" s="2" t="str">
        <f>+Iberdrola!O10</f>
        <v>15% s/Te y Tp (+5% si PIH / PEH+ / UUEEn/ Pack Bienestar)</v>
      </c>
      <c r="V29" s="2"/>
      <c r="W29" s="2"/>
      <c r="X29" s="299">
        <f>+Iberdrola!P10</f>
        <v>0.06</v>
      </c>
      <c r="Y29" s="2"/>
      <c r="Z29" s="1" t="s">
        <v>22</v>
      </c>
    </row>
    <row r="30" spans="1:26">
      <c r="A30" s="1" t="s">
        <v>323</v>
      </c>
      <c r="B30" s="1" t="s">
        <v>18</v>
      </c>
      <c r="C30" s="1" t="s">
        <v>24</v>
      </c>
      <c r="D30" s="124" t="str">
        <f>+Iberdrola!B11</f>
        <v>2.0TD_2 Plan Exclusivo 15%TE/TP 3p</v>
      </c>
      <c r="E30" s="1" t="s">
        <v>19</v>
      </c>
      <c r="F30" s="4">
        <f>+Iberdrola!U11</f>
        <v>0.11778082191780823</v>
      </c>
      <c r="G30" s="4">
        <f>+Iberdrola!V11</f>
        <v>6.0246575342465747E-2</v>
      </c>
      <c r="L30" s="125"/>
      <c r="M30" s="3">
        <f>+Iberdrola!I11</f>
        <v>0.25219999999999998</v>
      </c>
      <c r="N30" s="3">
        <f>+Iberdrola!I11</f>
        <v>0.25219999999999998</v>
      </c>
      <c r="O30" s="3">
        <f>+Iberdrola!I11</f>
        <v>0.25219999999999998</v>
      </c>
      <c r="S30" s="3"/>
      <c r="T30" s="2">
        <v>0.15</v>
      </c>
      <c r="U30" s="2" t="str">
        <f>+Iberdrola!O11</f>
        <v>15% s/Te y Tp (+5% si PIH / PEH+ / UUEEn/ Pack Bienestar)</v>
      </c>
      <c r="V30" s="2"/>
      <c r="W30" s="2"/>
      <c r="X30" s="299">
        <f>+Iberdrola!P11</f>
        <v>0.06</v>
      </c>
      <c r="Y30" s="2"/>
      <c r="Z30" s="1" t="s">
        <v>22</v>
      </c>
    </row>
    <row r="31" spans="1:26">
      <c r="A31" s="1" t="s">
        <v>323</v>
      </c>
      <c r="B31" s="1" t="s">
        <v>18</v>
      </c>
      <c r="C31" s="1" t="s">
        <v>24</v>
      </c>
      <c r="D31" s="124" t="str">
        <f>+Iberdrola!B12</f>
        <v>2.0TD_2 Plan Especial plus 15%TE 1p</v>
      </c>
      <c r="E31" s="1" t="s">
        <v>19</v>
      </c>
      <c r="F31" s="4">
        <f>+Iberdrola!U12</f>
        <v>0.10819178082191781</v>
      </c>
      <c r="G31" s="4">
        <f>+Iberdrola!V12</f>
        <v>4.6547945205479446E-2</v>
      </c>
      <c r="L31" s="125"/>
      <c r="M31" s="3">
        <f>+Iberdrola!I12</f>
        <v>0.14874999999999999</v>
      </c>
      <c r="N31" s="3">
        <f>+Iberdrola!I12</f>
        <v>0.14874999999999999</v>
      </c>
      <c r="O31" s="3">
        <f>+Iberdrola!I12</f>
        <v>0.14874999999999999</v>
      </c>
      <c r="S31" s="3"/>
      <c r="T31" s="2">
        <v>0.15</v>
      </c>
      <c r="U31" s="2" t="str">
        <f>+Iberdrola!O12</f>
        <v>15% s/Te (+5% si PIH / PEH+ / UUEEn/ Pack Bienestar)</v>
      </c>
      <c r="V31" s="2"/>
      <c r="W31" s="2"/>
      <c r="X31" s="299">
        <f>+Iberdrola!P12</f>
        <v>0.06</v>
      </c>
      <c r="Y31" s="2"/>
      <c r="Z31" s="1" t="s">
        <v>22</v>
      </c>
    </row>
    <row r="32" spans="1:26">
      <c r="A32" s="1" t="s">
        <v>323</v>
      </c>
      <c r="B32" s="1" t="s">
        <v>18</v>
      </c>
      <c r="C32" s="1" t="s">
        <v>24</v>
      </c>
      <c r="D32" s="124" t="str">
        <f>+Iberdrola!B13</f>
        <v>2.0TD_2 Plan Hogar Especial</v>
      </c>
      <c r="E32" s="1" t="s">
        <v>19</v>
      </c>
      <c r="F32" s="4">
        <f>+Iberdrola!U13</f>
        <v>8.4931506849315067E-2</v>
      </c>
      <c r="G32" s="4">
        <f>+Iberdrola!V13</f>
        <v>4.9287671232876709E-2</v>
      </c>
      <c r="L32" s="125"/>
      <c r="M32" s="3">
        <f>+Iberdrola!I13</f>
        <v>0.19187499999999999</v>
      </c>
      <c r="N32" s="3">
        <f>+Iberdrola!I13</f>
        <v>0.19187499999999999</v>
      </c>
      <c r="O32" s="3">
        <f>+Iberdrola!I13</f>
        <v>0.19187499999999999</v>
      </c>
      <c r="S32" s="3"/>
      <c r="T32" s="2">
        <v>0.15</v>
      </c>
      <c r="U32" s="2" t="str">
        <f>+Iberdrola!O13</f>
        <v>15% s/Te (+5% si PIH / PEH+ / UUEEn/ Pack Bienestar)</v>
      </c>
      <c r="V32" s="2"/>
      <c r="W32" s="2"/>
      <c r="X32" s="299">
        <f>+Iberdrola!P13</f>
        <v>0.06</v>
      </c>
      <c r="Y32" s="2"/>
      <c r="Z32" s="1" t="s">
        <v>22</v>
      </c>
    </row>
    <row r="33" spans="1:26">
      <c r="A33" s="1" t="s">
        <v>323</v>
      </c>
      <c r="B33" s="1" t="s">
        <v>18</v>
      </c>
      <c r="C33" s="1" t="s">
        <v>24</v>
      </c>
      <c r="D33" s="124" t="str">
        <f>+Iberdrola!B14</f>
        <v>2.0TD_2 Plan Estable</v>
      </c>
      <c r="E33" s="1" t="s">
        <v>19</v>
      </c>
      <c r="F33" s="4">
        <f>+Iberdrola!U14</f>
        <v>0.10819178082191781</v>
      </c>
      <c r="G33" s="4">
        <f>+Iberdrola!V14</f>
        <v>4.6547945205479446E-2</v>
      </c>
      <c r="L33" s="125"/>
      <c r="M33" s="3">
        <f>+Iberdrola!I14</f>
        <v>0.17487499999999997</v>
      </c>
      <c r="N33" s="3">
        <f>+Iberdrola!I14</f>
        <v>0.17487499999999997</v>
      </c>
      <c r="O33" s="3">
        <f>+Iberdrola!I14</f>
        <v>0.17487499999999997</v>
      </c>
      <c r="S33" s="3"/>
      <c r="T33" s="2">
        <v>0.15</v>
      </c>
      <c r="U33" s="2" t="str">
        <f>+Iberdrola!O14</f>
        <v>15% s/Te (+5% si PIH / PEH+ / UUEEn/ Pack Bienestar)</v>
      </c>
      <c r="V33" s="2"/>
      <c r="W33" s="2"/>
      <c r="X33" s="299">
        <f>+Iberdrola!P14</f>
        <v>0.06</v>
      </c>
      <c r="Y33" s="2"/>
      <c r="Z33" s="1" t="s">
        <v>22</v>
      </c>
    </row>
    <row r="34" spans="1:26">
      <c r="A34" s="1" t="s">
        <v>323</v>
      </c>
      <c r="B34" s="1" t="s">
        <v>18</v>
      </c>
      <c r="C34" s="1" t="s">
        <v>24</v>
      </c>
      <c r="D34" s="124" t="str">
        <f>+Iberdrola!B15</f>
        <v>2.0TD_2 Planazo</v>
      </c>
      <c r="E34" s="1" t="s">
        <v>19</v>
      </c>
      <c r="F34" s="4">
        <f>+Iberdrola!U15</f>
        <v>0.10819178082191781</v>
      </c>
      <c r="G34" s="4">
        <f>+Iberdrola!V15</f>
        <v>4.9287671232876709E-2</v>
      </c>
      <c r="L34" s="125"/>
      <c r="M34" s="3">
        <f>+Iberdrola!I15</f>
        <v>0.19187499999999999</v>
      </c>
      <c r="N34" s="3">
        <f>+Iberdrola!I15</f>
        <v>0.19187499999999999</v>
      </c>
      <c r="O34" s="3">
        <f>+Iberdrola!I15</f>
        <v>0.19187499999999999</v>
      </c>
      <c r="S34" s="3"/>
      <c r="T34" s="2">
        <v>0.15</v>
      </c>
      <c r="U34" s="2" t="str">
        <f>+Iberdrola!O15</f>
        <v>15% s/Te (+5% si PIH / PEH+ / UUEEn/ Pack Bienestar) + 100€ en conciertos</v>
      </c>
      <c r="V34" s="2"/>
      <c r="W34" s="2"/>
      <c r="X34" s="299">
        <f>+Iberdrola!P15</f>
        <v>0.06</v>
      </c>
      <c r="Y34" s="2"/>
      <c r="Z34" s="1" t="s">
        <v>22</v>
      </c>
    </row>
    <row r="35" spans="1:26">
      <c r="A35" s="1" t="s">
        <v>323</v>
      </c>
      <c r="B35" s="1" t="s">
        <v>18</v>
      </c>
      <c r="C35" s="1" t="s">
        <v>24</v>
      </c>
      <c r="D35" s="124" t="str">
        <f>+Iberdrola!B16</f>
        <v>2.0TD_2 Plan Más Ahorro</v>
      </c>
      <c r="E35" s="1" t="s">
        <v>19</v>
      </c>
      <c r="F35" s="4">
        <f>+Iberdrola!U16</f>
        <v>0.10819178082191781</v>
      </c>
      <c r="G35" s="4">
        <f>+Iberdrola!V16</f>
        <v>4.9287671232876709E-2</v>
      </c>
      <c r="L35" s="125"/>
      <c r="M35" s="3">
        <f>+Iberdrola!I16</f>
        <v>0.17111099999999999</v>
      </c>
      <c r="N35" s="3">
        <f>+Iberdrola!I16</f>
        <v>0.17111099999999999</v>
      </c>
      <c r="O35" s="3">
        <f>+Iberdrola!I16</f>
        <v>0.17111099999999999</v>
      </c>
      <c r="S35" s="3"/>
      <c r="T35" s="2">
        <v>0.1</v>
      </c>
      <c r="U35" s="2" t="str">
        <f>+Iberdrola!O16</f>
        <v>10% / 15% / 20% /25% / 30% Te (+5% si PIH / PEH+ / UUEEn/ Pack Bienestar)</v>
      </c>
      <c r="V35" s="2"/>
      <c r="W35" s="2"/>
      <c r="X35" s="299">
        <f>+Iberdrola!P16</f>
        <v>0.06</v>
      </c>
      <c r="Y35" s="2"/>
      <c r="Z35" s="1" t="s">
        <v>22</v>
      </c>
    </row>
    <row r="36" spans="1:26">
      <c r="A36" s="1" t="s">
        <v>323</v>
      </c>
      <c r="B36" s="1" t="s">
        <v>18</v>
      </c>
      <c r="C36" s="1" t="s">
        <v>24</v>
      </c>
      <c r="D36" s="124" t="str">
        <f>+Iberdrola!B17</f>
        <v>2.0TD_2 Plan Ahorro Inteligente 8 horas</v>
      </c>
      <c r="E36" s="1" t="s">
        <v>19</v>
      </c>
      <c r="F36" s="4">
        <f>+Iberdrola!U17</f>
        <v>0.10819178082191781</v>
      </c>
      <c r="G36" s="4">
        <f>+Iberdrola!V17</f>
        <v>4.9287671232876709E-2</v>
      </c>
      <c r="L36" s="125"/>
      <c r="M36" s="3">
        <f>+Iberdrola!I17</f>
        <v>0.23526</v>
      </c>
      <c r="N36" s="3">
        <f>+Iberdrola!I17</f>
        <v>0.23526</v>
      </c>
      <c r="O36" s="3">
        <f>+Iberdrola!I17</f>
        <v>0.23526</v>
      </c>
      <c r="S36" s="3"/>
      <c r="T36" s="2">
        <v>0.15</v>
      </c>
      <c r="U36" s="2" t="str">
        <f>+Iberdrola!O17</f>
        <v>15% s/Te (+5% si PIH / PEH+)</v>
      </c>
      <c r="V36" s="2"/>
      <c r="W36" s="2"/>
      <c r="X36" s="299">
        <f>+Iberdrola!P17</f>
        <v>0.06</v>
      </c>
      <c r="Y36" s="2"/>
      <c r="Z36" s="1" t="s">
        <v>22</v>
      </c>
    </row>
    <row r="37" spans="1:26">
      <c r="A37" s="1" t="s">
        <v>323</v>
      </c>
      <c r="B37" s="1" t="s">
        <v>18</v>
      </c>
      <c r="C37" s="1" t="s">
        <v>24</v>
      </c>
      <c r="D37" s="124" t="str">
        <f>+Iberdrola!B18</f>
        <v>2.0TD_2 Plan Ahorro Automático 100</v>
      </c>
      <c r="E37" s="1" t="s">
        <v>19</v>
      </c>
      <c r="F37" s="4">
        <f>+Iberdrola!U18</f>
        <v>0.10819178082191781</v>
      </c>
      <c r="G37" s="4">
        <f>+Iberdrola!V18</f>
        <v>4.9287671232876709E-2</v>
      </c>
      <c r="L37" s="125"/>
      <c r="M37" s="3">
        <f>+Iberdrola!I18</f>
        <v>0.217</v>
      </c>
      <c r="N37" s="3">
        <f>+Iberdrola!I18</f>
        <v>0.217</v>
      </c>
      <c r="O37" s="3">
        <f>+Iberdrola!I18</f>
        <v>0.217</v>
      </c>
      <c r="S37" s="3"/>
      <c r="T37" s="2"/>
      <c r="U37" s="2" t="str">
        <f>+Iberdrola!O18</f>
        <v>100€  (+20€ si PIH / PEH+/ PI / PEH ); 50% dos días de más consumo</v>
      </c>
      <c r="V37" s="2"/>
      <c r="W37" s="2"/>
      <c r="X37" s="299">
        <f>+Iberdrola!P18</f>
        <v>0.06</v>
      </c>
      <c r="Y37" s="2"/>
      <c r="Z37" s="1" t="s">
        <v>22</v>
      </c>
    </row>
    <row r="38" spans="1:26">
      <c r="A38" s="1" t="s">
        <v>323</v>
      </c>
      <c r="B38" s="1" t="s">
        <v>18</v>
      </c>
      <c r="C38" s="1" t="s">
        <v>24</v>
      </c>
      <c r="D38" s="124" t="str">
        <f>+Iberdrola!B19</f>
        <v>2.0TD_2 Plan Verano</v>
      </c>
      <c r="E38" s="1" t="s">
        <v>19</v>
      </c>
      <c r="F38" s="4">
        <f>+Iberdrola!U19</f>
        <v>0.10819178082191781</v>
      </c>
      <c r="G38" s="4">
        <f>+Iberdrola!V19</f>
        <v>4.9287671232876709E-2</v>
      </c>
      <c r="L38" s="125"/>
      <c r="M38" s="3">
        <f>+Iberdrola!I19</f>
        <v>0.24982200000000002</v>
      </c>
      <c r="N38" s="3">
        <f>+Iberdrola!I19</f>
        <v>0.24982200000000002</v>
      </c>
      <c r="O38" s="3">
        <f>+Iberdrola!I19</f>
        <v>0.24982200000000002</v>
      </c>
      <c r="S38" s="3"/>
      <c r="T38" s="2">
        <v>0.15</v>
      </c>
      <c r="U38" s="2" t="str">
        <f>+Iberdrola!O19</f>
        <v>15% s/Tp (+5% si PIH / PEH+ / UUEEn/ Pack Bienestar)</v>
      </c>
      <c r="V38" s="2"/>
      <c r="W38" s="2"/>
      <c r="X38" s="299">
        <f>+Iberdrola!P19</f>
        <v>0.06</v>
      </c>
      <c r="Y38" s="2"/>
      <c r="Z38" s="1" t="s">
        <v>22</v>
      </c>
    </row>
    <row r="39" spans="1:26">
      <c r="A39" s="1" t="s">
        <v>323</v>
      </c>
      <c r="B39" s="1" t="s">
        <v>18</v>
      </c>
      <c r="C39" s="1" t="s">
        <v>24</v>
      </c>
      <c r="D39" s="124" t="str">
        <f>+Iberdrola!B20</f>
        <v>2.0TD_2 Plan Estable Comunidades de Propietarios</v>
      </c>
      <c r="E39" s="1" t="s">
        <v>19</v>
      </c>
      <c r="F39" s="4">
        <f>+Iberdrola!U20</f>
        <v>0.11641095890410959</v>
      </c>
      <c r="G39" s="4">
        <f>+Iberdrola!V20</f>
        <v>5.2027397260273965E-2</v>
      </c>
      <c r="L39" s="125"/>
      <c r="M39" s="3">
        <f>+Iberdrola!I20</f>
        <v>0.15913099999999999</v>
      </c>
      <c r="N39" s="3">
        <f>+Iberdrola!I20</f>
        <v>0.15913099999999999</v>
      </c>
      <c r="O39" s="3">
        <f>+Iberdrola!I20</f>
        <v>0.15913099999999999</v>
      </c>
      <c r="S39" s="3"/>
      <c r="T39" s="2">
        <v>0.15</v>
      </c>
      <c r="U39" s="2" t="str">
        <f>+Iberdrola!O20</f>
        <v>15% s/Te (+5% si ACP) + 5% s/te 2año</v>
      </c>
      <c r="V39" s="2"/>
      <c r="W39" s="2"/>
      <c r="X39" s="299">
        <f>+Iberdrola!P20</f>
        <v>0.06</v>
      </c>
      <c r="Y39" s="2"/>
      <c r="Z39" s="1" t="s">
        <v>22</v>
      </c>
    </row>
    <row r="40" spans="1:26">
      <c r="A40" s="1" t="s">
        <v>323</v>
      </c>
      <c r="B40" s="1" t="s">
        <v>18</v>
      </c>
      <c r="C40" s="1" t="s">
        <v>24</v>
      </c>
      <c r="D40" s="124" t="str">
        <f>+Iberdrola!B21</f>
        <v>2.0TD_2 Plan Solar</v>
      </c>
      <c r="E40" s="1" t="s">
        <v>19</v>
      </c>
      <c r="F40" s="4">
        <f>+Iberdrola!U21</f>
        <v>0.10819178082191781</v>
      </c>
      <c r="G40" s="4">
        <f>+Iberdrola!V21</f>
        <v>4.9287671232876709E-2</v>
      </c>
      <c r="L40" s="125"/>
      <c r="M40" s="3">
        <f>+Iberdrola!I21</f>
        <v>0.24399999999999999</v>
      </c>
      <c r="N40" s="3">
        <f>+Iberdrola!I21</f>
        <v>0.24399999999999999</v>
      </c>
      <c r="O40" s="3">
        <f>+Iberdrola!I21</f>
        <v>0.24399999999999999</v>
      </c>
      <c r="S40" s="3"/>
      <c r="T40" s="2"/>
      <c r="U40" s="2" t="str">
        <f>+Iberdrola!O21</f>
        <v>s/ dto</v>
      </c>
      <c r="V40" s="2"/>
      <c r="W40" s="2"/>
      <c r="X40" s="299">
        <f>+Iberdrola!P21</f>
        <v>0.06</v>
      </c>
      <c r="Y40" s="2"/>
      <c r="Z40" s="1" t="s">
        <v>22</v>
      </c>
    </row>
    <row r="41" spans="1:26">
      <c r="A41" s="1" t="s">
        <v>323</v>
      </c>
      <c r="B41" s="1" t="s">
        <v>18</v>
      </c>
      <c r="C41" s="1" t="s">
        <v>24</v>
      </c>
      <c r="D41" s="124" t="str">
        <f>+Iberdrola!B22</f>
        <v>2.0TD_2 Plan Recarga Inteligente</v>
      </c>
      <c r="E41" s="1" t="s">
        <v>19</v>
      </c>
      <c r="F41" s="4">
        <f>+Iberdrola!U22</f>
        <v>0.10819178082191781</v>
      </c>
      <c r="G41" s="4">
        <f>+Iberdrola!V22</f>
        <v>4.9287671232876709E-2</v>
      </c>
      <c r="L41" s="125"/>
      <c r="M41" s="3">
        <f>+Iberdrola!I22</f>
        <v>0.14999899999999999</v>
      </c>
      <c r="N41" s="3">
        <f>+Iberdrola!I22</f>
        <v>0.14999899999999999</v>
      </c>
      <c r="O41" s="3">
        <f>+Iberdrola!I22</f>
        <v>0.14999899999999999</v>
      </c>
      <c r="S41" s="3"/>
      <c r="T41" s="2"/>
      <c r="U41" s="2" t="str">
        <f>+Iberdrola!O22</f>
        <v>s/ dto</v>
      </c>
      <c r="V41" s="2"/>
      <c r="W41" s="2"/>
      <c r="X41" s="299">
        <f>+Iberdrola!P22</f>
        <v>0.06</v>
      </c>
      <c r="Y41" s="2"/>
      <c r="Z41" s="1" t="s">
        <v>22</v>
      </c>
    </row>
    <row r="42" spans="1:26">
      <c r="A42" s="1" t="s">
        <v>323</v>
      </c>
      <c r="B42" s="1" t="s">
        <v>18</v>
      </c>
      <c r="C42" s="1" t="s">
        <v>24</v>
      </c>
      <c r="D42" s="124" t="str">
        <f>+Iberdrola!B23</f>
        <v>2.0TD_2 Impulsa 24h</v>
      </c>
      <c r="E42" s="1" t="s">
        <v>19</v>
      </c>
      <c r="F42" s="4">
        <f>+Iberdrola!U23</f>
        <v>0.11641095890410959</v>
      </c>
      <c r="G42" s="4">
        <f>+Iberdrola!V23</f>
        <v>4.6547945205479446E-2</v>
      </c>
      <c r="L42" s="125"/>
      <c r="M42" s="3">
        <f>+Iberdrola!I23</f>
        <v>0.17319999999999999</v>
      </c>
      <c r="N42" s="3">
        <f>+Iberdrola!I23</f>
        <v>0.17319999999999999</v>
      </c>
      <c r="O42" s="3">
        <f>+Iberdrola!I23</f>
        <v>0.17319999999999999</v>
      </c>
      <c r="S42" s="3"/>
      <c r="T42" s="2">
        <v>0.2</v>
      </c>
      <c r="U42" s="2" t="str">
        <f>+Iberdrola!O23</f>
        <v>20% s/Te (+5% si PIH / PEH+ / UUEEn/ Pack Bienestar)</v>
      </c>
      <c r="V42" s="2"/>
      <c r="W42" s="2"/>
      <c r="X42" s="299">
        <f>+Iberdrola!P23</f>
        <v>0.06</v>
      </c>
      <c r="Y42" s="2"/>
      <c r="Z42" s="1" t="s">
        <v>22</v>
      </c>
    </row>
    <row r="43" spans="1:26">
      <c r="A43" s="1" t="s">
        <v>323</v>
      </c>
      <c r="B43" s="1" t="s">
        <v>18</v>
      </c>
      <c r="C43" s="1" t="s">
        <v>24</v>
      </c>
      <c r="D43" s="124" t="str">
        <f>+Iberdrola!B24</f>
        <v>2.0TD_2 Plan OMIE</v>
      </c>
      <c r="E43" s="1" t="s">
        <v>19</v>
      </c>
      <c r="F43" s="4">
        <f>+Iberdrola!U24</f>
        <v>7.378232876712329E-2</v>
      </c>
      <c r="G43" s="4">
        <f>+Iberdrola!V24</f>
        <v>1.9112000000000001E-3</v>
      </c>
      <c r="L43" s="125"/>
      <c r="M43" s="3">
        <f>+Iberdrola!I24</f>
        <v>1.4999999999999999E-2</v>
      </c>
      <c r="N43" s="3">
        <f>+Iberdrola!I24</f>
        <v>1.4999999999999999E-2</v>
      </c>
      <c r="O43" s="3">
        <f>+Iberdrola!I24</f>
        <v>1.4999999999999999E-2</v>
      </c>
      <c r="S43" s="3"/>
      <c r="T43" s="2"/>
      <c r="U43" s="2" t="str">
        <f>+Iberdrola!O24</f>
        <v>s/ dto (únicamente para fidelización)</v>
      </c>
      <c r="V43" s="2"/>
      <c r="W43" s="2"/>
      <c r="X43" s="299" t="str">
        <f>+Iberdrola!P24</f>
        <v>PVPC</v>
      </c>
      <c r="Y43" s="2"/>
      <c r="Z43" s="1" t="s">
        <v>22</v>
      </c>
    </row>
    <row r="44" spans="1:26">
      <c r="A44" s="1" t="s">
        <v>323</v>
      </c>
      <c r="B44" s="1" t="s">
        <v>18</v>
      </c>
      <c r="C44" s="1" t="s">
        <v>24</v>
      </c>
      <c r="D44" s="124" t="str">
        <f>+Iberdrola!B25</f>
        <v>2.0TD_2 Plan OMIE Comunidades</v>
      </c>
      <c r="E44" s="1" t="s">
        <v>19</v>
      </c>
      <c r="F44" s="4">
        <f>+Iberdrola!U25</f>
        <v>7.378232876712329E-2</v>
      </c>
      <c r="G44" s="4">
        <f>+Iberdrola!V25</f>
        <v>1.9112000000000001E-3</v>
      </c>
      <c r="L44" s="125"/>
      <c r="M44" s="3">
        <f>+Iberdrola!I25</f>
        <v>0.03</v>
      </c>
      <c r="N44" s="3">
        <f>+Iberdrola!I25</f>
        <v>0.03</v>
      </c>
      <c r="O44" s="3">
        <f>+Iberdrola!I25</f>
        <v>0.03</v>
      </c>
      <c r="S44" s="3"/>
      <c r="T44" s="2"/>
      <c r="U44" s="2" t="str">
        <f>+Iberdrola!O25</f>
        <v>s/ dto</v>
      </c>
      <c r="V44" s="2"/>
      <c r="W44" s="2"/>
      <c r="X44" s="299" t="str">
        <f>+Iberdrola!P25</f>
        <v>PVPC</v>
      </c>
      <c r="Y44" s="2"/>
      <c r="Z44" s="1" t="s">
        <v>22</v>
      </c>
    </row>
    <row r="45" spans="1:26">
      <c r="A45" s="1" t="s">
        <v>323</v>
      </c>
      <c r="B45" s="1" t="s">
        <v>18</v>
      </c>
      <c r="C45" s="1" t="s">
        <v>24</v>
      </c>
      <c r="D45" s="124" t="str">
        <f>+Iberdrola!B27</f>
        <v>2.0TD_3 Plan Exclusivo 15%TE/TP 1p</v>
      </c>
      <c r="E45" s="1" t="s">
        <v>19</v>
      </c>
      <c r="F45" s="4">
        <f>+Iberdrola!U27</f>
        <v>0.11778082191780823</v>
      </c>
      <c r="G45" s="4">
        <f>+Iberdrola!V27</f>
        <v>6.0246575342465747E-2</v>
      </c>
      <c r="L45" s="125"/>
      <c r="M45" s="3">
        <f>+Iberdrola!I27</f>
        <v>0.207647</v>
      </c>
      <c r="N45" s="3">
        <f>+Iberdrola!I27</f>
        <v>0.207647</v>
      </c>
      <c r="O45" s="3">
        <f>+Iberdrola!I27</f>
        <v>0.207647</v>
      </c>
      <c r="S45" s="3"/>
      <c r="T45" s="2"/>
      <c r="U45" s="2"/>
      <c r="V45" s="2"/>
      <c r="W45" s="2"/>
      <c r="X45" s="299">
        <f>+Iberdrola!P27</f>
        <v>0.06</v>
      </c>
      <c r="Y45" s="2"/>
      <c r="Z45" s="1" t="s">
        <v>22</v>
      </c>
    </row>
    <row r="46" spans="1:26">
      <c r="A46" s="1" t="s">
        <v>323</v>
      </c>
      <c r="B46" s="1" t="s">
        <v>18</v>
      </c>
      <c r="C46" s="1" t="s">
        <v>24</v>
      </c>
      <c r="D46" s="124" t="str">
        <f>+Iberdrola!B28</f>
        <v>2.0TD_3 Plan Exclusivo 15%TE/TP 3p</v>
      </c>
      <c r="E46" s="1" t="s">
        <v>19</v>
      </c>
      <c r="F46" s="4">
        <f>+Iberdrola!U28</f>
        <v>0.11778082191780823</v>
      </c>
      <c r="G46" s="4">
        <f>+Iberdrola!V28</f>
        <v>6.0246575342465747E-2</v>
      </c>
      <c r="L46" s="125"/>
      <c r="M46" s="3">
        <f>+Iberdrola!I28</f>
        <v>0.24809999999999999</v>
      </c>
      <c r="N46" s="3">
        <f>+Iberdrola!I28</f>
        <v>0.24809999999999999</v>
      </c>
      <c r="O46" s="3">
        <f>+Iberdrola!I28</f>
        <v>0.24809999999999999</v>
      </c>
      <c r="S46" s="3"/>
      <c r="T46" s="2">
        <v>0.15</v>
      </c>
      <c r="U46" s="2" t="str">
        <f>+Iberdrola!O27</f>
        <v>15% s/Te y Tp (+5% si PIH / PEH+ / UUEEn/ Pack Bienestar)</v>
      </c>
      <c r="V46" s="2"/>
      <c r="W46" s="2"/>
      <c r="X46" s="299">
        <f>+Iberdrola!P28</f>
        <v>0.06</v>
      </c>
      <c r="Y46" s="2"/>
      <c r="Z46" s="1" t="s">
        <v>22</v>
      </c>
    </row>
    <row r="47" spans="1:26">
      <c r="A47" s="1" t="s">
        <v>323</v>
      </c>
      <c r="B47" s="1" t="s">
        <v>18</v>
      </c>
      <c r="C47" s="1" t="s">
        <v>24</v>
      </c>
      <c r="D47" s="124" t="str">
        <f>+Iberdrola!B29</f>
        <v>2.0TD_3 Plan Especial plus 15%TE 1p</v>
      </c>
      <c r="E47" s="1" t="s">
        <v>19</v>
      </c>
      <c r="F47" s="4">
        <f>+Iberdrola!U29</f>
        <v>0.10819178082191781</v>
      </c>
      <c r="G47" s="4">
        <f>+Iberdrola!V29</f>
        <v>4.6547945205479446E-2</v>
      </c>
      <c r="L47" s="125"/>
      <c r="M47" s="3">
        <f>+Iberdrola!I29</f>
        <v>0.15375</v>
      </c>
      <c r="N47" s="3">
        <f>+Iberdrola!I29</f>
        <v>0.15375</v>
      </c>
      <c r="O47" s="3">
        <f>+Iberdrola!I29</f>
        <v>0.15375</v>
      </c>
      <c r="S47" s="3"/>
      <c r="T47" s="2">
        <v>0.15</v>
      </c>
      <c r="U47" s="2" t="str">
        <f>+Iberdrola!O28</f>
        <v>15% s/Te y Tp (+5% si PIH / PEH+ / UUEEn/ Pack Bienestar)</v>
      </c>
      <c r="V47" s="2"/>
      <c r="W47" s="2"/>
      <c r="X47" s="299">
        <f>+Iberdrola!P29</f>
        <v>0.06</v>
      </c>
      <c r="Y47" s="2"/>
      <c r="Z47" s="1" t="s">
        <v>22</v>
      </c>
    </row>
    <row r="48" spans="1:26">
      <c r="A48" s="1" t="s">
        <v>323</v>
      </c>
      <c r="B48" s="1" t="s">
        <v>18</v>
      </c>
      <c r="C48" s="1" t="s">
        <v>24</v>
      </c>
      <c r="D48" s="124" t="str">
        <f>+Iberdrola!B30</f>
        <v>2.0TD_3 Plan Hogar Especial</v>
      </c>
      <c r="E48" s="1" t="s">
        <v>19</v>
      </c>
      <c r="F48" s="4">
        <f>+Iberdrola!U30</f>
        <v>8.4931506849315067E-2</v>
      </c>
      <c r="G48" s="4">
        <f>+Iberdrola!V30</f>
        <v>4.9287671232876709E-2</v>
      </c>
      <c r="L48" s="125"/>
      <c r="M48" s="3">
        <f>+Iberdrola!I30</f>
        <v>0.19687499999999999</v>
      </c>
      <c r="N48" s="3">
        <f>+Iberdrola!I30</f>
        <v>0.19687499999999999</v>
      </c>
      <c r="O48" s="3">
        <f>+Iberdrola!I30</f>
        <v>0.19687499999999999</v>
      </c>
      <c r="S48" s="3"/>
      <c r="T48" s="2">
        <v>0.15</v>
      </c>
      <c r="U48" s="2" t="str">
        <f>+Iberdrola!O29</f>
        <v>15% s/Te (+5% si PIH / PEH+ / UUEEn/ Pack Bienestar)</v>
      </c>
      <c r="V48" s="2"/>
      <c r="W48" s="2"/>
      <c r="X48" s="299">
        <f>+Iberdrola!P30</f>
        <v>0.06</v>
      </c>
      <c r="Y48" s="2"/>
      <c r="Z48" s="1" t="s">
        <v>22</v>
      </c>
    </row>
    <row r="49" spans="1:26">
      <c r="A49" s="1" t="s">
        <v>323</v>
      </c>
      <c r="B49" s="1" t="s">
        <v>18</v>
      </c>
      <c r="C49" s="1" t="s">
        <v>24</v>
      </c>
      <c r="D49" s="124" t="str">
        <f>+Iberdrola!B31</f>
        <v>2.0TD_3 Plan Estable</v>
      </c>
      <c r="E49" s="1" t="s">
        <v>19</v>
      </c>
      <c r="F49" s="4">
        <f>+Iberdrola!U31</f>
        <v>0.10819178082191781</v>
      </c>
      <c r="G49" s="4">
        <f>+Iberdrola!V31</f>
        <v>4.6547945205479446E-2</v>
      </c>
      <c r="L49" s="125"/>
      <c r="M49" s="3">
        <f>+Iberdrola!I31</f>
        <v>0.17487499999999997</v>
      </c>
      <c r="N49" s="3">
        <f>+Iberdrola!I31</f>
        <v>0.17487499999999997</v>
      </c>
      <c r="O49" s="3">
        <f>+Iberdrola!I31</f>
        <v>0.17487499999999997</v>
      </c>
      <c r="S49" s="3"/>
      <c r="T49" s="2">
        <v>0.15</v>
      </c>
      <c r="U49" s="2" t="str">
        <f>+Iberdrola!O30</f>
        <v>15% s/Te (+5% si PIH / PEH+ / UUEEn/ Pack Bienestar)</v>
      </c>
      <c r="V49" s="2"/>
      <c r="W49" s="2"/>
      <c r="X49" s="299">
        <f>+Iberdrola!P31</f>
        <v>0.06</v>
      </c>
      <c r="Y49" s="2"/>
      <c r="Z49" s="1" t="s">
        <v>22</v>
      </c>
    </row>
    <row r="50" spans="1:26">
      <c r="A50" s="1" t="s">
        <v>323</v>
      </c>
      <c r="B50" s="1" t="s">
        <v>18</v>
      </c>
      <c r="C50" s="1" t="s">
        <v>24</v>
      </c>
      <c r="D50" s="124" t="str">
        <f>+Iberdrola!B32</f>
        <v>2.0TD_3 Planazo</v>
      </c>
      <c r="E50" s="1" t="s">
        <v>19</v>
      </c>
      <c r="F50" s="4">
        <f>+Iberdrola!U32</f>
        <v>0.10819178082191781</v>
      </c>
      <c r="G50" s="4">
        <f>+Iberdrola!V32</f>
        <v>4.9287671232876709E-2</v>
      </c>
      <c r="L50" s="125"/>
      <c r="M50" s="3">
        <f>+Iberdrola!I32</f>
        <v>0.19187499999999999</v>
      </c>
      <c r="N50" s="3">
        <f>+Iberdrola!I32</f>
        <v>0.19187499999999999</v>
      </c>
      <c r="O50" s="3">
        <f>+Iberdrola!I32</f>
        <v>0.19187499999999999</v>
      </c>
      <c r="S50" s="3"/>
      <c r="T50" s="2">
        <v>0.15</v>
      </c>
      <c r="U50" s="2" t="str">
        <f>+Iberdrola!O31</f>
        <v>15% s/Te (+5% si PIH / PEH+ / UUEEn/ Pack Bienestar)</v>
      </c>
      <c r="V50" s="2"/>
      <c r="W50" s="2"/>
      <c r="X50" s="299">
        <f>+Iberdrola!P32</f>
        <v>0.06</v>
      </c>
      <c r="Y50" s="2"/>
      <c r="Z50" s="1" t="s">
        <v>22</v>
      </c>
    </row>
    <row r="51" spans="1:26">
      <c r="A51" s="1" t="s">
        <v>323</v>
      </c>
      <c r="B51" s="1" t="s">
        <v>18</v>
      </c>
      <c r="C51" s="1" t="s">
        <v>24</v>
      </c>
      <c r="D51" s="124" t="str">
        <f>+Iberdrola!B33</f>
        <v>2.0TD_3 Plan Más Ahorro</v>
      </c>
      <c r="E51" s="1" t="s">
        <v>19</v>
      </c>
      <c r="F51" s="4">
        <f>+Iberdrola!U33</f>
        <v>0.10819178082191781</v>
      </c>
      <c r="G51" s="4">
        <f>+Iberdrola!V33</f>
        <v>4.9287671232876709E-2</v>
      </c>
      <c r="L51" s="125"/>
      <c r="M51" s="3">
        <f>+Iberdrola!I33</f>
        <v>0.18111099999999999</v>
      </c>
      <c r="N51" s="3">
        <f>+Iberdrola!I33</f>
        <v>0.18111099999999999</v>
      </c>
      <c r="O51" s="3">
        <f>+Iberdrola!I33</f>
        <v>0.18111099999999999</v>
      </c>
      <c r="S51" s="3"/>
      <c r="T51" s="2">
        <v>0.15</v>
      </c>
      <c r="U51" s="2" t="str">
        <f>+Iberdrola!O32</f>
        <v>15% s/Te (+5% si PIH / PEH+ / UUEEn/ Pack Bienestar) + 100€ en conciertos</v>
      </c>
      <c r="V51" s="2"/>
      <c r="W51" s="2"/>
      <c r="X51" s="299">
        <f>+Iberdrola!P33</f>
        <v>0.06</v>
      </c>
      <c r="Y51" s="2"/>
      <c r="Z51" s="1" t="s">
        <v>22</v>
      </c>
    </row>
    <row r="52" spans="1:26">
      <c r="A52" s="1" t="s">
        <v>323</v>
      </c>
      <c r="B52" s="1" t="s">
        <v>18</v>
      </c>
      <c r="C52" s="1" t="s">
        <v>24</v>
      </c>
      <c r="D52" s="124" t="str">
        <f>+Iberdrola!B34</f>
        <v>2.0TD_3 Plan Ahorro Inteligente 8 horas</v>
      </c>
      <c r="E52" s="1" t="s">
        <v>19</v>
      </c>
      <c r="F52" s="4">
        <f>+Iberdrola!U34</f>
        <v>0.10819178082191781</v>
      </c>
      <c r="G52" s="4">
        <f>+Iberdrola!V34</f>
        <v>4.9287671232876709E-2</v>
      </c>
      <c r="L52" s="125"/>
      <c r="M52" s="3">
        <f>+Iberdrola!I34</f>
        <v>0.24526000000000001</v>
      </c>
      <c r="N52" s="3">
        <f>+Iberdrola!I34</f>
        <v>0.24526000000000001</v>
      </c>
      <c r="O52" s="3">
        <f>+Iberdrola!I34</f>
        <v>0.24526000000000001</v>
      </c>
      <c r="S52" s="3"/>
      <c r="T52" s="2">
        <v>0.1</v>
      </c>
      <c r="U52" s="2" t="str">
        <f>+Iberdrola!O33</f>
        <v>10% / 15% / 20% /25% / 30% Te (+5% si PIH / PEH+ / UUEEn/ Pack Bienestar)</v>
      </c>
      <c r="V52" s="2"/>
      <c r="W52" s="2"/>
      <c r="X52" s="299">
        <f>+Iberdrola!P34</f>
        <v>0.06</v>
      </c>
      <c r="Y52" s="2"/>
      <c r="Z52" s="1" t="s">
        <v>22</v>
      </c>
    </row>
    <row r="53" spans="1:26">
      <c r="A53" s="1" t="s">
        <v>323</v>
      </c>
      <c r="B53" s="1" t="s">
        <v>18</v>
      </c>
      <c r="C53" s="1" t="s">
        <v>24</v>
      </c>
      <c r="D53" s="124" t="str">
        <f>+Iberdrola!B35</f>
        <v>2.0TD_3 Plan Ahorro Automático 100</v>
      </c>
      <c r="E53" s="1" t="s">
        <v>19</v>
      </c>
      <c r="F53" s="4">
        <f>+Iberdrola!U35</f>
        <v>0.10819178082191781</v>
      </c>
      <c r="G53" s="4">
        <f>+Iberdrola!V35</f>
        <v>4.9287671232876709E-2</v>
      </c>
      <c r="L53" s="125"/>
      <c r="M53" s="3">
        <f>+Iberdrola!I35</f>
        <v>0.217</v>
      </c>
      <c r="N53" s="3">
        <f>+Iberdrola!I35</f>
        <v>0.217</v>
      </c>
      <c r="O53" s="3">
        <f>+Iberdrola!I35</f>
        <v>0.217</v>
      </c>
      <c r="S53" s="3"/>
      <c r="T53" s="2">
        <v>0.15</v>
      </c>
      <c r="U53" s="2" t="str">
        <f>+Iberdrola!O34</f>
        <v>15% s/Te (+5% si PIH / PEH+ / UUEEn/ Pack Bienestar)</v>
      </c>
      <c r="V53" s="2"/>
      <c r="W53" s="2"/>
      <c r="X53" s="299">
        <f>+Iberdrola!P35</f>
        <v>0.06</v>
      </c>
      <c r="Y53" s="2"/>
      <c r="Z53" s="1" t="s">
        <v>22</v>
      </c>
    </row>
    <row r="54" spans="1:26">
      <c r="A54" s="1" t="s">
        <v>323</v>
      </c>
      <c r="B54" s="1" t="s">
        <v>18</v>
      </c>
      <c r="C54" s="1" t="s">
        <v>24</v>
      </c>
      <c r="D54" s="124" t="str">
        <f>+Iberdrola!B36</f>
        <v>2.0TD_3 Plan Verano</v>
      </c>
      <c r="E54" s="1" t="s">
        <v>19</v>
      </c>
      <c r="F54" s="4">
        <f>+Iberdrola!U36</f>
        <v>0.10819178082191781</v>
      </c>
      <c r="G54" s="4">
        <f>+Iberdrola!V36</f>
        <v>4.9287671232876709E-2</v>
      </c>
      <c r="L54" s="125"/>
      <c r="M54" s="3">
        <f>+Iberdrola!I36</f>
        <v>0.24982200000000002</v>
      </c>
      <c r="N54" s="3">
        <f>+Iberdrola!I36</f>
        <v>0.24982200000000002</v>
      </c>
      <c r="O54" s="3">
        <f>+Iberdrola!I36</f>
        <v>0.24982200000000002</v>
      </c>
      <c r="S54" s="3"/>
      <c r="T54" s="2"/>
      <c r="U54" s="2" t="str">
        <f>+Iberdrola!O35</f>
        <v>100€  (+20€ si PIH / PEH+/ PI / PEH )</v>
      </c>
      <c r="V54" s="2"/>
      <c r="W54" s="2"/>
      <c r="X54" s="299">
        <f>+Iberdrola!P36</f>
        <v>0.06</v>
      </c>
      <c r="Y54" s="2"/>
      <c r="Z54" s="1" t="s">
        <v>22</v>
      </c>
    </row>
    <row r="55" spans="1:26">
      <c r="A55" s="1" t="s">
        <v>323</v>
      </c>
      <c r="B55" s="1" t="s">
        <v>18</v>
      </c>
      <c r="C55" s="1" t="s">
        <v>24</v>
      </c>
      <c r="D55" s="124" t="str">
        <f>+Iberdrola!B37</f>
        <v>2.0TD_3 Plan Estable Comunidades de Propietarios</v>
      </c>
      <c r="E55" s="1" t="s">
        <v>19</v>
      </c>
      <c r="F55" s="4">
        <f>+Iberdrola!U37</f>
        <v>0.11641095890410959</v>
      </c>
      <c r="G55" s="4">
        <f>+Iberdrola!V37</f>
        <v>5.2027397260273965E-2</v>
      </c>
      <c r="L55" s="125"/>
      <c r="M55" s="3">
        <f>+Iberdrola!I37</f>
        <v>0.15913099999999999</v>
      </c>
      <c r="N55" s="3">
        <f>+Iberdrola!I37</f>
        <v>0.15913099999999999</v>
      </c>
      <c r="O55" s="3">
        <f>+Iberdrola!I37</f>
        <v>0.15913099999999999</v>
      </c>
      <c r="S55" s="3"/>
      <c r="T55" s="2">
        <v>0.15</v>
      </c>
      <c r="U55" s="2" t="str">
        <f>+Iberdrola!O36</f>
        <v>15% s/Tp (+5% si PIH / PEH+ / UUEEn/ Pack Bienestar)</v>
      </c>
      <c r="V55" s="2"/>
      <c r="W55" s="2"/>
      <c r="X55" s="299">
        <f>+Iberdrola!P37</f>
        <v>0.06</v>
      </c>
      <c r="Y55" s="2"/>
      <c r="Z55" s="1" t="s">
        <v>22</v>
      </c>
    </row>
    <row r="56" spans="1:26">
      <c r="A56" s="1" t="s">
        <v>323</v>
      </c>
      <c r="B56" s="1" t="s">
        <v>18</v>
      </c>
      <c r="C56" s="1" t="s">
        <v>24</v>
      </c>
      <c r="D56" s="124" t="str">
        <f>+Iberdrola!B38</f>
        <v>2.0TD_3 Plan Solar</v>
      </c>
      <c r="E56" s="1" t="s">
        <v>19</v>
      </c>
      <c r="F56" s="4">
        <f>+Iberdrola!U38</f>
        <v>0.10819178082191781</v>
      </c>
      <c r="G56" s="4">
        <f>+Iberdrola!V38</f>
        <v>4.9287671232876709E-2</v>
      </c>
      <c r="L56" s="125"/>
      <c r="M56" s="3">
        <f>+Iberdrola!I38</f>
        <v>0.24399999999999999</v>
      </c>
      <c r="N56" s="3">
        <f>+Iberdrola!I38</f>
        <v>0.24399999999999999</v>
      </c>
      <c r="O56" s="3">
        <f>+Iberdrola!I38</f>
        <v>0.24399999999999999</v>
      </c>
      <c r="S56" s="3"/>
      <c r="T56" s="2">
        <v>0.15</v>
      </c>
      <c r="U56" s="2" t="str">
        <f>+Iberdrola!O37</f>
        <v>15% s/Te (+5% si ACP) + 5% s/te 2año</v>
      </c>
      <c r="V56" s="2"/>
      <c r="W56" s="2"/>
      <c r="X56" s="299">
        <f>+Iberdrola!P38</f>
        <v>0.06</v>
      </c>
      <c r="Y56" s="2"/>
      <c r="Z56" s="1" t="s">
        <v>22</v>
      </c>
    </row>
    <row r="57" spans="1:26">
      <c r="A57" s="1" t="s">
        <v>323</v>
      </c>
      <c r="B57" s="1" t="s">
        <v>18</v>
      </c>
      <c r="C57" s="1" t="s">
        <v>24</v>
      </c>
      <c r="D57" s="124" t="str">
        <f>+Iberdrola!B39</f>
        <v>2.0TD_3 Plan Recarga Inteligente</v>
      </c>
      <c r="E57" s="1" t="s">
        <v>19</v>
      </c>
      <c r="F57" s="4">
        <f>+Iberdrola!U39</f>
        <v>0.10819178082191781</v>
      </c>
      <c r="G57" s="4">
        <f>+Iberdrola!V39</f>
        <v>4.9287671232876709E-2</v>
      </c>
      <c r="L57" s="125"/>
      <c r="M57" s="3">
        <f>+Iberdrola!I39</f>
        <v>0.14999899999999999</v>
      </c>
      <c r="N57" s="3">
        <f>+Iberdrola!I39</f>
        <v>0.14999899999999999</v>
      </c>
      <c r="O57" s="3">
        <f>+Iberdrola!I39</f>
        <v>0.14999899999999999</v>
      </c>
      <c r="S57" s="3"/>
      <c r="T57" s="2"/>
      <c r="U57" s="2" t="str">
        <f>+Iberdrola!O38</f>
        <v>s/ dto</v>
      </c>
      <c r="V57" s="2"/>
      <c r="W57" s="2"/>
      <c r="X57" s="299">
        <f>+Iberdrola!P39</f>
        <v>0.06</v>
      </c>
      <c r="Y57" s="2"/>
      <c r="Z57" s="1" t="s">
        <v>22</v>
      </c>
    </row>
    <row r="58" spans="1:26">
      <c r="A58" s="1" t="s">
        <v>323</v>
      </c>
      <c r="B58" s="1" t="s">
        <v>18</v>
      </c>
      <c r="C58" s="1" t="s">
        <v>24</v>
      </c>
      <c r="D58" s="124" t="str">
        <f>+Iberdrola!B40</f>
        <v>2.0TD_3 Impulsa 24h</v>
      </c>
      <c r="E58" s="1" t="s">
        <v>19</v>
      </c>
      <c r="F58" s="4">
        <f>+Iberdrola!U40</f>
        <v>0.11641095890410959</v>
      </c>
      <c r="G58" s="4">
        <f>+Iberdrola!V40</f>
        <v>4.6547945205479446E-2</v>
      </c>
      <c r="L58" s="125"/>
      <c r="M58" s="3">
        <f>+Iberdrola!I40</f>
        <v>0.17319999999999999</v>
      </c>
      <c r="N58" s="3">
        <f>+Iberdrola!I40</f>
        <v>0.17319999999999999</v>
      </c>
      <c r="O58" s="3">
        <f>+Iberdrola!I40</f>
        <v>0.17319999999999999</v>
      </c>
      <c r="S58" s="3"/>
      <c r="T58" s="2"/>
      <c r="U58" s="2" t="str">
        <f>+Iberdrola!O39</f>
        <v>s/ dto</v>
      </c>
      <c r="V58" s="2"/>
      <c r="W58" s="2"/>
      <c r="X58" s="299">
        <f>+Iberdrola!P40</f>
        <v>0.06</v>
      </c>
      <c r="Y58" s="2"/>
      <c r="Z58" s="1" t="s">
        <v>22</v>
      </c>
    </row>
    <row r="59" spans="1:26">
      <c r="A59" s="1" t="s">
        <v>323</v>
      </c>
      <c r="B59" s="1" t="s">
        <v>18</v>
      </c>
      <c r="C59" s="1" t="s">
        <v>24</v>
      </c>
      <c r="D59" s="124" t="str">
        <f>+Iberdrola!B41</f>
        <v>2.0TD_3 Plan OMIE</v>
      </c>
      <c r="E59" s="1" t="s">
        <v>19</v>
      </c>
      <c r="F59" s="4">
        <f>+Iberdrola!U41</f>
        <v>7.378232876712329E-2</v>
      </c>
      <c r="G59" s="4">
        <f>+Iberdrola!V41</f>
        <v>1.9112000000000001E-3</v>
      </c>
      <c r="L59" s="125"/>
      <c r="M59" s="3">
        <f>+Iberdrola!I41</f>
        <v>0.03</v>
      </c>
      <c r="N59" s="3">
        <f>+Iberdrola!I41</f>
        <v>0.03</v>
      </c>
      <c r="O59" s="3">
        <f>+Iberdrola!I41</f>
        <v>0.03</v>
      </c>
      <c r="S59" s="3"/>
      <c r="T59" s="2">
        <v>0.2</v>
      </c>
      <c r="U59" s="2" t="str">
        <f>+Iberdrola!O40</f>
        <v>20% s/Te (+5% si PIH / PEH+ / UUEEn/ Pack Bienestar)</v>
      </c>
      <c r="V59" s="2"/>
      <c r="W59" s="2"/>
      <c r="X59" s="299" t="str">
        <f>+Iberdrola!P41</f>
        <v>PVPC</v>
      </c>
      <c r="Y59" s="2"/>
      <c r="Z59" s="1" t="s">
        <v>22</v>
      </c>
    </row>
    <row r="60" spans="1:26">
      <c r="A60" s="1" t="s">
        <v>323</v>
      </c>
      <c r="B60" s="1" t="s">
        <v>18</v>
      </c>
      <c r="C60" s="1" t="s">
        <v>24</v>
      </c>
      <c r="D60" s="124" t="str">
        <f>+Iberdrola!B42</f>
        <v>2.0TD_3 Plan OMIE Comunidades</v>
      </c>
      <c r="E60" s="1" t="s">
        <v>19</v>
      </c>
      <c r="F60" s="4">
        <f>+Iberdrola!U42</f>
        <v>7.378232876712329E-2</v>
      </c>
      <c r="G60" s="4">
        <f>+Iberdrola!V42</f>
        <v>1.9112000000000001E-3</v>
      </c>
      <c r="L60" s="125"/>
      <c r="M60" s="3">
        <f>+Iberdrola!I42</f>
        <v>0.03</v>
      </c>
      <c r="N60" s="3">
        <f>+Iberdrola!I42</f>
        <v>0.03</v>
      </c>
      <c r="O60" s="3">
        <f>+Iberdrola!I42</f>
        <v>0.03</v>
      </c>
      <c r="S60" s="3"/>
      <c r="T60" s="2"/>
      <c r="U60" s="2" t="str">
        <f>+Iberdrola!O41</f>
        <v>s/ dto</v>
      </c>
      <c r="V60" s="2"/>
      <c r="W60" s="2"/>
      <c r="X60" s="299" t="str">
        <f>+Iberdrola!P42</f>
        <v>PVPC</v>
      </c>
      <c r="Y60" s="2"/>
      <c r="Z60" s="1" t="s">
        <v>22</v>
      </c>
    </row>
    <row r="61" spans="1:26">
      <c r="A61" s="1" t="s">
        <v>323</v>
      </c>
      <c r="B61" s="1" t="s">
        <v>18</v>
      </c>
      <c r="C61" s="1" t="s">
        <v>24</v>
      </c>
      <c r="D61" s="124" t="str">
        <f>+Iberdrola!B43</f>
        <v>2.0TD Eventual/Temporal (s/IE)</v>
      </c>
      <c r="E61" s="1" t="s">
        <v>19</v>
      </c>
      <c r="F61" s="4">
        <f>+Iberdrola!U43</f>
        <v>0.16572602739726028</v>
      </c>
      <c r="G61" s="4">
        <f>+Iberdrola!V43</f>
        <v>6.7945205479452058E-3</v>
      </c>
      <c r="L61" s="125"/>
      <c r="M61" s="3">
        <f>+Iberdrola!I43</f>
        <v>0.28809999999999997</v>
      </c>
      <c r="N61" s="3">
        <f>+Iberdrola!I43</f>
        <v>0.28809999999999997</v>
      </c>
      <c r="O61" s="3">
        <f>+Iberdrola!I43</f>
        <v>0.28809999999999997</v>
      </c>
      <c r="S61" s="3"/>
      <c r="T61" s="2"/>
      <c r="U61" s="2" t="str">
        <f>+Iberdrola!O42</f>
        <v>s/ dto</v>
      </c>
      <c r="V61" s="2"/>
      <c r="W61" s="2"/>
      <c r="X61" s="299">
        <f>+Iberdrola!P43</f>
        <v>0.06</v>
      </c>
      <c r="Y61" s="2"/>
      <c r="Z61" s="1" t="s">
        <v>22</v>
      </c>
    </row>
    <row r="62" spans="1:26">
      <c r="A62" s="1" t="s">
        <v>323</v>
      </c>
      <c r="B62" s="1" t="s">
        <v>159</v>
      </c>
      <c r="C62" s="1" t="s">
        <v>24</v>
      </c>
      <c r="D62" s="124" t="str">
        <f>+Iberdrola!B46</f>
        <v>3.0TD Impulsa 24h</v>
      </c>
      <c r="E62" s="1" t="s">
        <v>163</v>
      </c>
      <c r="F62" s="4">
        <f>+Iberdrola!C46/365</f>
        <v>5.9171271232876715E-2</v>
      </c>
      <c r="G62" s="4">
        <f>+Iberdrola!D46/365</f>
        <v>3.1974013698630135E-2</v>
      </c>
      <c r="H62" s="4">
        <f>+Iberdrola!E46/365</f>
        <v>1.904739726027397E-2</v>
      </c>
      <c r="I62" s="4">
        <f>+Iberdrola!F46/365</f>
        <v>1.4789271232876712E-2</v>
      </c>
      <c r="J62" s="4">
        <f>+Iberdrola!G46/365</f>
        <v>8.9287287671232871E-3</v>
      </c>
      <c r="K62" s="4">
        <f>+Iberdrola!H46/365</f>
        <v>7.5545397260273961E-3</v>
      </c>
      <c r="L62" s="125"/>
      <c r="M62" s="3">
        <f>+Iberdrola!I46</f>
        <v>0.184</v>
      </c>
      <c r="N62" s="3">
        <f>+Iberdrola!I46</f>
        <v>0.184</v>
      </c>
      <c r="O62" s="3">
        <f>+Iberdrola!I46</f>
        <v>0.184</v>
      </c>
      <c r="P62" s="3"/>
      <c r="Q62" s="3"/>
      <c r="R62" s="3"/>
      <c r="S62" s="3"/>
      <c r="T62" s="2"/>
      <c r="U62" s="2">
        <f>+Iberdrola!O45</f>
        <v>0</v>
      </c>
      <c r="V62" s="2"/>
      <c r="W62" s="2"/>
      <c r="X62" s="299">
        <f>+Iberdrola!P46</f>
        <v>0.03</v>
      </c>
      <c r="Y62" s="2"/>
      <c r="Z62" s="1" t="s">
        <v>22</v>
      </c>
    </row>
    <row r="63" spans="1:26">
      <c r="A63" s="1" t="s">
        <v>323</v>
      </c>
      <c r="B63" s="1" t="s">
        <v>159</v>
      </c>
      <c r="C63" s="1" t="s">
        <v>24</v>
      </c>
      <c r="D63" s="124" t="str">
        <f>+Iberdrola!B47</f>
        <v>3.0TD Impulsa 24h+</v>
      </c>
      <c r="E63" s="1" t="s">
        <v>163</v>
      </c>
      <c r="F63" s="4">
        <f>+Iberdrola!C47/365</f>
        <v>5.9171271232876715E-2</v>
      </c>
      <c r="G63" s="4">
        <f>+Iberdrola!D47/365</f>
        <v>3.1974013698630135E-2</v>
      </c>
      <c r="H63" s="4">
        <f>+Iberdrola!E47/365</f>
        <v>1.904739726027397E-2</v>
      </c>
      <c r="I63" s="4">
        <f>+Iberdrola!F47/365</f>
        <v>1.4789271232876712E-2</v>
      </c>
      <c r="J63" s="4">
        <f>+Iberdrola!G47/365</f>
        <v>8.9287287671232871E-3</v>
      </c>
      <c r="K63" s="4">
        <f>+Iberdrola!H47/365</f>
        <v>7.5545397260273961E-3</v>
      </c>
      <c r="L63" s="125"/>
      <c r="M63" s="3">
        <f>+Iberdrola!I47</f>
        <v>0.191</v>
      </c>
      <c r="N63" s="3">
        <f>+Iberdrola!I47</f>
        <v>0.191</v>
      </c>
      <c r="O63" s="3">
        <f>+Iberdrola!I47</f>
        <v>0.191</v>
      </c>
      <c r="P63" s="3"/>
      <c r="Q63" s="3"/>
      <c r="R63" s="3"/>
      <c r="S63" s="3"/>
      <c r="T63" s="2">
        <v>0.2</v>
      </c>
      <c r="U63" s="2" t="str">
        <f>+Iberdrola!O46</f>
        <v>20% s/Te (+5% si UUEEn)</v>
      </c>
      <c r="V63" s="2"/>
      <c r="W63" s="2"/>
      <c r="X63" s="299">
        <f>+Iberdrola!P47</f>
        <v>0.03</v>
      </c>
      <c r="Y63" s="2"/>
      <c r="Z63" s="1" t="s">
        <v>22</v>
      </c>
    </row>
    <row r="64" spans="1:26">
      <c r="A64" s="1" t="s">
        <v>323</v>
      </c>
      <c r="B64" s="1" t="s">
        <v>159</v>
      </c>
      <c r="C64" s="1" t="s">
        <v>24</v>
      </c>
      <c r="D64" s="124" t="str">
        <f>+Iberdrola!B48</f>
        <v>3.0TD Impulsa Zero+</v>
      </c>
      <c r="E64" s="1" t="s">
        <v>163</v>
      </c>
      <c r="F64" s="4">
        <f>+Iberdrola!C48/365</f>
        <v>5.9171271232876715E-2</v>
      </c>
      <c r="G64" s="4">
        <f>+Iberdrola!D48/365</f>
        <v>4.0193191780821917E-2</v>
      </c>
      <c r="H64" s="4">
        <f>+Iberdrola!E48/365</f>
        <v>3.0006301369863018E-2</v>
      </c>
      <c r="I64" s="4">
        <f>+Iberdrola!F48/365</f>
        <v>2.8487901369863011E-2</v>
      </c>
      <c r="J64" s="4">
        <f>+Iberdrola!G48/365</f>
        <v>2.5367084931506849E-2</v>
      </c>
      <c r="K64" s="4">
        <f>+Iberdrola!H48/365</f>
        <v>2.399289589041096E-2</v>
      </c>
      <c r="L64" s="125"/>
      <c r="M64" s="3">
        <f>+Iberdrola!I48</f>
        <v>0.16800000000000001</v>
      </c>
      <c r="N64" s="3">
        <f>+Iberdrola!I48</f>
        <v>0.16800000000000001</v>
      </c>
      <c r="O64" s="3">
        <f>+Iberdrola!I48</f>
        <v>0.16800000000000001</v>
      </c>
      <c r="P64" s="3"/>
      <c r="Q64" s="3"/>
      <c r="R64" s="3"/>
      <c r="S64" s="3"/>
      <c r="T64" s="2">
        <v>0.2</v>
      </c>
      <c r="U64" s="2" t="str">
        <f>+Iberdrola!O47</f>
        <v>20% s/Te 1º año y 30% s/Te 2º año (+5% si UUEEn)</v>
      </c>
      <c r="V64" s="2"/>
      <c r="W64" s="2"/>
      <c r="X64" s="299">
        <f>+Iberdrola!P48</f>
        <v>0.03</v>
      </c>
      <c r="Y64" s="2"/>
      <c r="Z64" s="1" t="s">
        <v>22</v>
      </c>
    </row>
    <row r="65" spans="1:26">
      <c r="A65" s="1" t="s">
        <v>323</v>
      </c>
      <c r="B65" s="1" t="s">
        <v>159</v>
      </c>
      <c r="C65" s="1" t="s">
        <v>24</v>
      </c>
      <c r="D65" s="124" t="str">
        <f>+Iberdrola!B49</f>
        <v>3.0TD Impulsa Negocio</v>
      </c>
      <c r="E65" s="1" t="s">
        <v>163</v>
      </c>
      <c r="F65" s="4">
        <f>+Iberdrola!C49/365</f>
        <v>5.9171271232876715E-2</v>
      </c>
      <c r="G65" s="4">
        <f>+Iberdrola!D49/365</f>
        <v>3.1974013698630135E-2</v>
      </c>
      <c r="H65" s="4">
        <f>+Iberdrola!E49/365</f>
        <v>1.904739726027397E-2</v>
      </c>
      <c r="I65" s="4">
        <f>+Iberdrola!F49/365</f>
        <v>1.4789271232876712E-2</v>
      </c>
      <c r="J65" s="4">
        <f>+Iberdrola!G49/365</f>
        <v>8.9287287671232871E-3</v>
      </c>
      <c r="K65" s="4">
        <f>+Iberdrola!H49/365</f>
        <v>7.5545397260273961E-3</v>
      </c>
      <c r="L65" s="125"/>
      <c r="M65" s="3">
        <f>+Iberdrola!I49</f>
        <v>0.26900000000000002</v>
      </c>
      <c r="N65" s="3">
        <f>+Iberdrola!I49</f>
        <v>0.26900000000000002</v>
      </c>
      <c r="O65" s="3">
        <f>+Iberdrola!I49</f>
        <v>0.26900000000000002</v>
      </c>
      <c r="P65" s="3"/>
      <c r="Q65" s="3"/>
      <c r="R65" s="3"/>
      <c r="S65" s="3"/>
      <c r="T65" s="2">
        <v>0.2</v>
      </c>
      <c r="U65" s="2" t="str">
        <f>+Iberdrola!O48</f>
        <v>20% s/Te 1º año y 10% s/Te 2º año (+5% si UUEEn)</v>
      </c>
      <c r="V65" s="2"/>
      <c r="W65" s="2"/>
      <c r="X65" s="299">
        <f>+Iberdrola!P49</f>
        <v>0.03</v>
      </c>
      <c r="Y65" s="2"/>
      <c r="Z65" s="1" t="s">
        <v>22</v>
      </c>
    </row>
    <row r="66" spans="1:26">
      <c r="A66" s="1" t="s">
        <v>323</v>
      </c>
      <c r="B66" s="1" t="s">
        <v>159</v>
      </c>
      <c r="C66" s="1" t="s">
        <v>24</v>
      </c>
      <c r="D66" s="124" t="str">
        <f>+Iberdrola!B50</f>
        <v>3.0TD Impulsa Valle</v>
      </c>
      <c r="E66" s="1" t="s">
        <v>163</v>
      </c>
      <c r="F66" s="4">
        <f>+Iberdrola!C50/365</f>
        <v>5.9171271232876715E-2</v>
      </c>
      <c r="G66" s="4">
        <f>+Iberdrola!D50/365</f>
        <v>3.1974013698630135E-2</v>
      </c>
      <c r="H66" s="4">
        <f>+Iberdrola!E50/365</f>
        <v>1.904739726027397E-2</v>
      </c>
      <c r="I66" s="4">
        <f>+Iberdrola!F50/365</f>
        <v>1.4789271232876712E-2</v>
      </c>
      <c r="J66" s="4">
        <f>+Iberdrola!G50/365</f>
        <v>8.9287287671232871E-3</v>
      </c>
      <c r="K66" s="4">
        <f>+Iberdrola!H50/365</f>
        <v>7.5545397260273961E-3</v>
      </c>
      <c r="L66" s="125"/>
      <c r="M66" s="3">
        <f>+Iberdrola!I50</f>
        <v>0.26900000000000002</v>
      </c>
      <c r="N66" s="3">
        <f>+Iberdrola!I50</f>
        <v>0.26900000000000002</v>
      </c>
      <c r="O66" s="3">
        <f>+Iberdrola!I50</f>
        <v>0.26900000000000002</v>
      </c>
      <c r="P66" s="3"/>
      <c r="Q66" s="3"/>
      <c r="R66" s="3"/>
      <c r="S66" s="3"/>
      <c r="T66" s="2">
        <v>0.2</v>
      </c>
      <c r="U66" s="2" t="str">
        <f>+Iberdrola!O49</f>
        <v>20% s/Te (+5% si UUEEn)</v>
      </c>
      <c r="V66" s="2"/>
      <c r="W66" s="2"/>
      <c r="X66" s="299">
        <f>+Iberdrola!P50</f>
        <v>0.03</v>
      </c>
      <c r="Y66" s="2"/>
      <c r="Z66" s="1" t="s">
        <v>22</v>
      </c>
    </row>
    <row r="67" spans="1:26">
      <c r="A67" s="1" t="s">
        <v>323</v>
      </c>
      <c r="B67" s="1" t="s">
        <v>159</v>
      </c>
      <c r="C67" s="1" t="s">
        <v>24</v>
      </c>
      <c r="D67" s="124" t="str">
        <f>+Iberdrola!B51</f>
        <v>3.0TD Impulsa Estable</v>
      </c>
      <c r="E67" s="1" t="s">
        <v>163</v>
      </c>
      <c r="F67" s="4">
        <f>+Iberdrola!C51/365</f>
        <v>2.3972602739726026E-2</v>
      </c>
      <c r="G67" s="4">
        <f>+Iberdrola!D51/365</f>
        <v>2.3972602739726026E-2</v>
      </c>
      <c r="H67" s="4">
        <f>+Iberdrola!E51/365</f>
        <v>2.3972602739726026E-2</v>
      </c>
      <c r="I67" s="4">
        <f>+Iberdrola!F51/365</f>
        <v>2.3972602739726026E-2</v>
      </c>
      <c r="J67" s="4">
        <f>+Iberdrola!G51/365</f>
        <v>2.3972602739726026E-2</v>
      </c>
      <c r="K67" s="4">
        <f>+Iberdrola!H51/365</f>
        <v>2.3972602739726026E-2</v>
      </c>
      <c r="L67" s="125"/>
      <c r="M67" s="3">
        <f>+Iberdrola!I51</f>
        <v>0.19900000000000001</v>
      </c>
      <c r="N67" s="3">
        <f>+Iberdrola!I51</f>
        <v>0.19900000000000001</v>
      </c>
      <c r="O67" s="3">
        <f>+Iberdrola!I51</f>
        <v>0.19900000000000001</v>
      </c>
      <c r="P67" s="3"/>
      <c r="Q67" s="3"/>
      <c r="R67" s="3"/>
      <c r="S67" s="3"/>
      <c r="T67" s="2">
        <v>0.2</v>
      </c>
      <c r="U67" s="2" t="str">
        <f>+Iberdrola!O50</f>
        <v>20% s/Te (+5% si UUEEn)</v>
      </c>
      <c r="V67" s="2"/>
      <c r="W67" s="2"/>
      <c r="X67" s="299">
        <f>+Iberdrola!P51</f>
        <v>0.03</v>
      </c>
      <c r="Y67" s="2"/>
      <c r="Z67" s="1" t="s">
        <v>22</v>
      </c>
    </row>
    <row r="68" spans="1:26">
      <c r="A68" s="1" t="s">
        <v>323</v>
      </c>
      <c r="B68" s="1" t="s">
        <v>159</v>
      </c>
      <c r="C68" s="1" t="s">
        <v>24</v>
      </c>
      <c r="D68" s="124" t="str">
        <f>+Iberdrola!B52</f>
        <v>3.0TD Comunidad Exclusivo</v>
      </c>
      <c r="E68" s="1" t="s">
        <v>163</v>
      </c>
      <c r="F68" s="4">
        <f>+Iberdrola!C52/365</f>
        <v>6.7100369863013695E-2</v>
      </c>
      <c r="G68" s="4">
        <f>+Iberdrola!D52/365</f>
        <v>3.4783978082191781E-2</v>
      </c>
      <c r="H68" s="4">
        <f>+Iberdrola!E52/365</f>
        <v>2.6039473972602738E-2</v>
      </c>
      <c r="I68" s="4">
        <f>+Iberdrola!F52/365</f>
        <v>1.9272564383561643E-2</v>
      </c>
      <c r="J68" s="4">
        <f>+Iberdrola!G52/365</f>
        <v>1.4713468493150684E-2</v>
      </c>
      <c r="K68" s="4">
        <f>+Iberdrola!H52/365</f>
        <v>1.093110410958904E-2</v>
      </c>
      <c r="L68" s="125"/>
      <c r="M68" s="3">
        <f>+Iberdrola!I52</f>
        <v>0.19900000000000001</v>
      </c>
      <c r="N68" s="3">
        <f>+Iberdrola!I52</f>
        <v>0.19900000000000001</v>
      </c>
      <c r="O68" s="3">
        <f>+Iberdrola!I52</f>
        <v>0.19900000000000001</v>
      </c>
      <c r="P68" s="3"/>
      <c r="Q68" s="3"/>
      <c r="R68" s="3"/>
      <c r="S68" s="3"/>
      <c r="T68" s="2">
        <v>0.2</v>
      </c>
      <c r="U68" s="2" t="str">
        <f>+Iberdrola!O51</f>
        <v>20% s/Te y TP (+5% TE si UUEEn)</v>
      </c>
      <c r="V68" s="2"/>
      <c r="W68" s="2"/>
      <c r="X68" s="299">
        <f>+Iberdrola!P52</f>
        <v>0.03</v>
      </c>
      <c r="Y68" s="2"/>
      <c r="Z68" s="1" t="s">
        <v>22</v>
      </c>
    </row>
    <row r="69" spans="1:26">
      <c r="A69" s="1" t="s">
        <v>323</v>
      </c>
      <c r="B69" s="1" t="s">
        <v>159</v>
      </c>
      <c r="C69" s="1" t="s">
        <v>24</v>
      </c>
      <c r="D69" s="124" t="str">
        <f>+Iberdrola!B53</f>
        <v>3.0TD Comunidad Impulsa</v>
      </c>
      <c r="E69" s="1" t="s">
        <v>163</v>
      </c>
      <c r="F69" s="4">
        <f>+Iberdrola!C53/365</f>
        <v>5.9171271232876715E-2</v>
      </c>
      <c r="G69" s="4">
        <f>+Iberdrola!D53/365</f>
        <v>3.1974013698630135E-2</v>
      </c>
      <c r="H69" s="4">
        <f>+Iberdrola!E53/365</f>
        <v>1.904739726027397E-2</v>
      </c>
      <c r="I69" s="4">
        <f>+Iberdrola!F53/365</f>
        <v>1.4789271232876712E-2</v>
      </c>
      <c r="J69" s="4">
        <f>+Iberdrola!G53/365</f>
        <v>8.9287287671232871E-3</v>
      </c>
      <c r="K69" s="4">
        <f>+Iberdrola!H53/365</f>
        <v>7.5545397260273961E-3</v>
      </c>
      <c r="L69" s="125"/>
      <c r="M69" s="3">
        <f>+Iberdrola!I53</f>
        <v>0.17899999999999999</v>
      </c>
      <c r="N69" s="3">
        <f>+Iberdrola!I53</f>
        <v>0.17899999999999999</v>
      </c>
      <c r="O69" s="3">
        <f>+Iberdrola!I53</f>
        <v>0.17899999999999999</v>
      </c>
      <c r="P69" s="3"/>
      <c r="Q69" s="3"/>
      <c r="R69" s="3"/>
      <c r="S69" s="3"/>
      <c r="T69" s="2">
        <v>0.2</v>
      </c>
      <c r="U69" s="2" t="str">
        <f>+Iberdrola!O52</f>
        <v>20% s/Te (+5% si ACP) + 5% s/te 2año</v>
      </c>
      <c r="V69" s="2"/>
      <c r="W69" s="2"/>
      <c r="X69" s="299">
        <f>+Iberdrola!P53</f>
        <v>0.03</v>
      </c>
      <c r="Y69" s="2"/>
      <c r="Z69" s="1" t="s">
        <v>22</v>
      </c>
    </row>
    <row r="70" spans="1:26">
      <c r="A70" s="1" t="s">
        <v>323</v>
      </c>
      <c r="B70" s="1" t="s">
        <v>159</v>
      </c>
      <c r="C70" s="1" t="s">
        <v>24</v>
      </c>
      <c r="D70" s="124" t="str">
        <f>+Iberdrola!B54</f>
        <v>3.0TD Comunidad Optima</v>
      </c>
      <c r="E70" s="1" t="s">
        <v>163</v>
      </c>
      <c r="F70" s="4">
        <f>+Iberdrola!C54/365</f>
        <v>5.9171271232876715E-2</v>
      </c>
      <c r="G70" s="4">
        <f>+Iberdrola!D54/365</f>
        <v>3.1974013698630135E-2</v>
      </c>
      <c r="H70" s="4">
        <f>+Iberdrola!E54/365</f>
        <v>1.904739726027397E-2</v>
      </c>
      <c r="I70" s="4">
        <f>+Iberdrola!F54/365</f>
        <v>1.4789271232876712E-2</v>
      </c>
      <c r="J70" s="4">
        <f>+Iberdrola!G54/365</f>
        <v>8.9287287671232871E-3</v>
      </c>
      <c r="K70" s="4">
        <f>+Iberdrola!H54/365</f>
        <v>7.5545397260273961E-3</v>
      </c>
      <c r="L70" s="125"/>
      <c r="M70" s="3">
        <f>+Iberdrola!I54</f>
        <v>0.17399999999999999</v>
      </c>
      <c r="N70" s="3">
        <f>+Iberdrola!I54</f>
        <v>0.17399999999999999</v>
      </c>
      <c r="O70" s="3">
        <f>+Iberdrola!I54</f>
        <v>0.17399999999999999</v>
      </c>
      <c r="P70" s="3"/>
      <c r="Q70" s="3"/>
      <c r="R70" s="3"/>
      <c r="S70" s="3"/>
      <c r="T70" s="2">
        <v>0.2</v>
      </c>
      <c r="U70" s="2" t="str">
        <f>+Iberdrola!O53</f>
        <v>20% s/Te (+5% si ACP) + 5% s/te 2año</v>
      </c>
      <c r="V70" s="2"/>
      <c r="W70" s="2"/>
      <c r="X70" s="299">
        <f>+Iberdrola!P54</f>
        <v>0.03</v>
      </c>
      <c r="Y70" s="2"/>
      <c r="Z70" s="1" t="s">
        <v>22</v>
      </c>
    </row>
    <row r="71" spans="1:26">
      <c r="A71" s="1" t="s">
        <v>323</v>
      </c>
      <c r="B71" s="1" t="s">
        <v>159</v>
      </c>
      <c r="C71" s="1" t="s">
        <v>24</v>
      </c>
      <c r="D71" s="124" t="str">
        <f>+Iberdrola!B55</f>
        <v>3.0TD Plan Vehículo Eléctrico</v>
      </c>
      <c r="E71" s="1" t="s">
        <v>163</v>
      </c>
      <c r="F71" s="4">
        <f>+Iberdrola!C55/365</f>
        <v>6.2199627397260267E-2</v>
      </c>
      <c r="G71" s="4">
        <f>+Iberdrola!D55/365</f>
        <v>3.3076402739726028E-2</v>
      </c>
      <c r="H71" s="4">
        <f>+Iberdrola!E55/365</f>
        <v>2.1533202739726025E-2</v>
      </c>
      <c r="I71" s="4">
        <f>+Iberdrola!F55/365</f>
        <v>1.5845605479452057E-2</v>
      </c>
      <c r="J71" s="4">
        <f>+Iberdrola!G55/365</f>
        <v>9.4946383561643824E-3</v>
      </c>
      <c r="K71" s="4">
        <f>+Iberdrola!H55/365</f>
        <v>6.629843835616437E-3</v>
      </c>
      <c r="L71" s="125"/>
      <c r="M71" s="3">
        <f>+Iberdrola!I55</f>
        <v>0.29599999999999999</v>
      </c>
      <c r="N71" s="3">
        <f>+Iberdrola!I55</f>
        <v>0.29599999999999999</v>
      </c>
      <c r="O71" s="3">
        <f>+Iberdrola!I55</f>
        <v>0.29599999999999999</v>
      </c>
      <c r="P71" s="3"/>
      <c r="Q71" s="3"/>
      <c r="R71" s="3"/>
      <c r="S71" s="3"/>
      <c r="T71" s="2">
        <v>0.2</v>
      </c>
      <c r="U71" s="2" t="str">
        <f>+Iberdrola!O54</f>
        <v>20% s/Te (+5% si ACP) + 5% s/te 2año</v>
      </c>
      <c r="V71" s="2"/>
      <c r="W71" s="2"/>
      <c r="X71" s="299">
        <f>+Iberdrola!P55</f>
        <v>0.03</v>
      </c>
      <c r="Y71" s="2"/>
      <c r="Z71" s="1" t="s">
        <v>22</v>
      </c>
    </row>
    <row r="72" spans="1:26">
      <c r="A72" s="1" t="s">
        <v>323</v>
      </c>
      <c r="B72" s="1" t="s">
        <v>159</v>
      </c>
      <c r="C72" s="1" t="s">
        <v>24</v>
      </c>
      <c r="D72" s="124" t="str">
        <f>+Iberdrola!B56</f>
        <v>3.0TD Plan Regantes</v>
      </c>
      <c r="E72" s="1" t="s">
        <v>163</v>
      </c>
      <c r="F72" s="4">
        <f>+Iberdrola!C56/365</f>
        <v>6.2199627397260267E-2</v>
      </c>
      <c r="G72" s="4">
        <f>+Iberdrola!D56/365</f>
        <v>3.3076402739726028E-2</v>
      </c>
      <c r="H72" s="4">
        <f>+Iberdrola!E56/365</f>
        <v>2.1533202739726025E-2</v>
      </c>
      <c r="I72" s="4">
        <f>+Iberdrola!F56/365</f>
        <v>1.5845605479452057E-2</v>
      </c>
      <c r="J72" s="4">
        <f>+Iberdrola!G56/365</f>
        <v>9.4946383561643824E-3</v>
      </c>
      <c r="K72" s="4">
        <f>+Iberdrola!H56/365</f>
        <v>6.629843835616437E-3</v>
      </c>
      <c r="L72" s="125"/>
      <c r="M72" s="3">
        <f>+Iberdrola!I56</f>
        <v>0.27100000000000002</v>
      </c>
      <c r="N72" s="3">
        <f>+Iberdrola!I56</f>
        <v>0.27100000000000002</v>
      </c>
      <c r="O72" s="3">
        <f>+Iberdrola!I56</f>
        <v>0.27100000000000002</v>
      </c>
      <c r="P72" s="3"/>
      <c r="Q72" s="3"/>
      <c r="R72" s="3"/>
      <c r="S72" s="3"/>
      <c r="T72" s="2"/>
      <c r="U72" s="2" t="str">
        <f>+Iberdrola!O55</f>
        <v>s/ dto</v>
      </c>
      <c r="V72" s="2"/>
      <c r="W72" s="2"/>
      <c r="X72" s="299">
        <f>+Iberdrola!P56</f>
        <v>0.03</v>
      </c>
      <c r="Y72" s="2"/>
      <c r="Z72" s="1" t="s">
        <v>22</v>
      </c>
    </row>
    <row r="73" spans="1:26">
      <c r="A73" s="1" t="s">
        <v>323</v>
      </c>
      <c r="B73" s="1" t="s">
        <v>159</v>
      </c>
      <c r="C73" s="1" t="s">
        <v>24</v>
      </c>
      <c r="D73" s="124" t="str">
        <f>+Iberdrola!B57</f>
        <v>3.0TD Plan Exclusivo 15%TE</v>
      </c>
      <c r="E73" s="1" t="s">
        <v>163</v>
      </c>
      <c r="F73" s="4">
        <f>+Iberdrola!C57/365</f>
        <v>6.7100369863013695E-2</v>
      </c>
      <c r="G73" s="4">
        <f>+Iberdrola!D57/365</f>
        <v>3.4783978082191781E-2</v>
      </c>
      <c r="H73" s="4">
        <f>+Iberdrola!E57/365</f>
        <v>2.6039473972602738E-2</v>
      </c>
      <c r="I73" s="4">
        <f>+Iberdrola!F57/365</f>
        <v>1.9272564383561643E-2</v>
      </c>
      <c r="J73" s="4">
        <f>+Iberdrola!G57/365</f>
        <v>1.4713468493150684E-2</v>
      </c>
      <c r="K73" s="4">
        <f>+Iberdrola!H57/365</f>
        <v>1.093110410958904E-2</v>
      </c>
      <c r="L73" s="125"/>
      <c r="M73" s="3">
        <f>+Iberdrola!I57</f>
        <v>0.28483199999999997</v>
      </c>
      <c r="N73" s="3">
        <f>+Iberdrola!I57</f>
        <v>0.28483199999999997</v>
      </c>
      <c r="O73" s="3">
        <f>+Iberdrola!I57</f>
        <v>0.28483199999999997</v>
      </c>
      <c r="P73" s="3">
        <f>+Iberdrola!J57</f>
        <v>0.25506799999999996</v>
      </c>
      <c r="Q73" s="3">
        <f>+Iberdrola!K57</f>
        <v>0.227022</v>
      </c>
      <c r="R73" s="3">
        <f>+Iberdrola!L57</f>
        <v>0.210872</v>
      </c>
      <c r="S73" s="3"/>
      <c r="T73" s="2"/>
      <c r="U73" s="2" t="str">
        <f>+Iberdrola!O56</f>
        <v>s/ dto</v>
      </c>
      <c r="V73" s="2"/>
      <c r="W73" s="2"/>
      <c r="X73" s="299">
        <f>+Iberdrola!P57</f>
        <v>0.05</v>
      </c>
      <c r="Y73" s="2"/>
      <c r="Z73" s="1" t="s">
        <v>22</v>
      </c>
    </row>
    <row r="74" spans="1:26">
      <c r="A74" s="1" t="s">
        <v>323</v>
      </c>
      <c r="B74" s="1" t="s">
        <v>159</v>
      </c>
      <c r="C74" s="1" t="s">
        <v>24</v>
      </c>
      <c r="D74" s="124" t="str">
        <f>+Iberdrola!B58</f>
        <v>3.0TD Plan Exclusivo 26/30%TE</v>
      </c>
      <c r="E74" s="1" t="s">
        <v>163</v>
      </c>
      <c r="F74" s="4">
        <f>+Iberdrola!C58/365</f>
        <v>6.2199627397260267E-2</v>
      </c>
      <c r="G74" s="4">
        <f>+Iberdrola!D58/365</f>
        <v>3.3076402739726028E-2</v>
      </c>
      <c r="H74" s="4">
        <f>+Iberdrola!E58/365</f>
        <v>2.1533202739726025E-2</v>
      </c>
      <c r="I74" s="4">
        <f>+Iberdrola!F58/365</f>
        <v>1.5845605479452057E-2</v>
      </c>
      <c r="J74" s="4">
        <f>+Iberdrola!G58/365</f>
        <v>9.4946383561643824E-3</v>
      </c>
      <c r="K74" s="4">
        <f>+Iberdrola!H58/365</f>
        <v>6.629843835616437E-3</v>
      </c>
      <c r="L74" s="125"/>
      <c r="M74" s="3">
        <f>+Iberdrola!I58</f>
        <v>0.27836</v>
      </c>
      <c r="N74" s="3">
        <f>+Iberdrola!I58</f>
        <v>0.27836</v>
      </c>
      <c r="O74" s="3">
        <f>+Iberdrola!I58</f>
        <v>0.27836</v>
      </c>
      <c r="P74" s="3">
        <f>+Iberdrola!J58</f>
        <v>0.24612700000000001</v>
      </c>
      <c r="Q74" s="3">
        <f>+Iberdrola!K58</f>
        <v>0.214945</v>
      </c>
      <c r="R74" s="3">
        <f>+Iberdrola!L58</f>
        <v>0.18764500000000001</v>
      </c>
      <c r="S74" s="3"/>
      <c r="T74" s="2">
        <v>0.15</v>
      </c>
      <c r="U74" s="2" t="str">
        <f>+Iberdrola!O57</f>
        <v>15% s/Te</v>
      </c>
      <c r="V74" s="2"/>
      <c r="W74" s="2"/>
      <c r="X74" s="299">
        <f>+Iberdrola!P58</f>
        <v>0.03</v>
      </c>
      <c r="Y74" s="2"/>
      <c r="Z74" s="1" t="s">
        <v>22</v>
      </c>
    </row>
    <row r="75" spans="1:26">
      <c r="A75" s="1" t="s">
        <v>323</v>
      </c>
      <c r="B75" s="1" t="s">
        <v>159</v>
      </c>
      <c r="C75" s="1" t="s">
        <v>24</v>
      </c>
      <c r="D75" s="124" t="str">
        <f>+Iberdrola!B59</f>
        <v>3.0TD Empresas 10%TE</v>
      </c>
      <c r="E75" s="1" t="s">
        <v>163</v>
      </c>
      <c r="F75" s="4">
        <f>+Iberdrola!C59/365</f>
        <v>5.5852079452054788E-2</v>
      </c>
      <c r="G75" s="4">
        <f>+Iberdrola!D59/365</f>
        <v>2.9101824657534248E-2</v>
      </c>
      <c r="H75" s="4">
        <f>+Iberdrola!E59/365</f>
        <v>1.2287221917808218E-2</v>
      </c>
      <c r="I75" s="4">
        <f>+Iberdrola!F59/365</f>
        <v>1.0656534246575342E-2</v>
      </c>
      <c r="J75" s="4">
        <f>+Iberdrola!G59/365</f>
        <v>6.8963095890410961E-3</v>
      </c>
      <c r="K75" s="4">
        <f>+Iberdrola!H59/365</f>
        <v>3.9556191780821919E-3</v>
      </c>
      <c r="L75" s="125"/>
      <c r="M75" s="3">
        <f>+Iberdrola!I59</f>
        <v>0.22642899999999999</v>
      </c>
      <c r="N75" s="3">
        <f>+Iberdrola!I59</f>
        <v>0.22642899999999999</v>
      </c>
      <c r="O75" s="3">
        <f>+Iberdrola!I59</f>
        <v>0.22642899999999999</v>
      </c>
      <c r="P75" s="3">
        <f>+Iberdrola!J59</f>
        <v>0.188555</v>
      </c>
      <c r="Q75" s="3">
        <f>+Iberdrola!K59</f>
        <v>0.160055</v>
      </c>
      <c r="R75" s="3">
        <f>+Iberdrola!L59</f>
        <v>0.139455</v>
      </c>
      <c r="S75" s="3"/>
      <c r="T75" s="2">
        <v>0.26</v>
      </c>
      <c r="U75" s="2" t="str">
        <f>+Iberdrola!O58</f>
        <v>26% ó 30% s/Te</v>
      </c>
      <c r="V75" s="2"/>
      <c r="W75" s="2"/>
      <c r="X75" s="299">
        <f>+Iberdrola!P59</f>
        <v>0.01</v>
      </c>
      <c r="Y75" s="2"/>
      <c r="Z75" s="1" t="s">
        <v>22</v>
      </c>
    </row>
    <row r="76" spans="1:26">
      <c r="A76" s="1" t="s">
        <v>323</v>
      </c>
      <c r="B76" s="1" t="s">
        <v>159</v>
      </c>
      <c r="C76" s="1" t="s">
        <v>24</v>
      </c>
      <c r="D76" s="124" t="str">
        <f>+Iberdrola!B60</f>
        <v>3.0TD Empresa Plus</v>
      </c>
      <c r="E76" s="1" t="s">
        <v>163</v>
      </c>
      <c r="F76" s="4">
        <f>+Iberdrola!C60/365</f>
        <v>5.5852079452054788E-2</v>
      </c>
      <c r="G76" s="4">
        <f>+Iberdrola!D60/365</f>
        <v>2.9101824657534248E-2</v>
      </c>
      <c r="H76" s="4">
        <f>+Iberdrola!E60/365</f>
        <v>1.2287221917808218E-2</v>
      </c>
      <c r="I76" s="4">
        <f>+Iberdrola!F60/365</f>
        <v>1.0656534246575342E-2</v>
      </c>
      <c r="J76" s="4">
        <f>+Iberdrola!G60/365</f>
        <v>6.8963095890410961E-3</v>
      </c>
      <c r="K76" s="4">
        <f>+Iberdrola!H60/365</f>
        <v>3.9556191780821919E-3</v>
      </c>
      <c r="L76" s="125"/>
      <c r="M76" s="3">
        <f>+Iberdrola!I60</f>
        <v>0.21176500000000001</v>
      </c>
      <c r="N76" s="3">
        <f>+Iberdrola!I60</f>
        <v>0.21176500000000001</v>
      </c>
      <c r="O76" s="3">
        <f>+Iberdrola!I60</f>
        <v>0.21176500000000001</v>
      </c>
      <c r="P76" s="3">
        <f>+Iberdrola!J60</f>
        <v>0.17804300000000001</v>
      </c>
      <c r="Q76" s="3">
        <f>+Iberdrola!K60</f>
        <v>0.15556</v>
      </c>
      <c r="R76" s="3">
        <f>+Iberdrola!L60</f>
        <v>0.13538600000000001</v>
      </c>
      <c r="S76" s="3"/>
      <c r="T76" s="2">
        <v>0.1</v>
      </c>
      <c r="U76" s="2" t="str">
        <f>+Iberdrola!O59</f>
        <v>10% s/Te</v>
      </c>
      <c r="V76" s="2"/>
      <c r="W76" s="2"/>
      <c r="X76" s="299">
        <f>+Iberdrola!P60</f>
        <v>0.01</v>
      </c>
      <c r="Y76" s="2"/>
      <c r="Z76" s="1" t="s">
        <v>22</v>
      </c>
    </row>
    <row r="77" spans="1:26">
      <c r="A77" s="1" t="s">
        <v>323</v>
      </c>
      <c r="B77" s="1" t="s">
        <v>159</v>
      </c>
      <c r="C77" s="1" t="s">
        <v>24</v>
      </c>
      <c r="D77" s="124" t="str">
        <f>+Iberdrola!B61</f>
        <v>3.0TD Plan Especial 15%TE</v>
      </c>
      <c r="E77" s="1" t="s">
        <v>163</v>
      </c>
      <c r="F77" s="4">
        <f>+Iberdrola!C61/365</f>
        <v>5.5852079452054788E-2</v>
      </c>
      <c r="G77" s="4">
        <f>+Iberdrola!D61/365</f>
        <v>2.9101824657534248E-2</v>
      </c>
      <c r="H77" s="4">
        <f>+Iberdrola!E61/365</f>
        <v>1.2287221917808218E-2</v>
      </c>
      <c r="I77" s="4">
        <f>+Iberdrola!F61/365</f>
        <v>1.0656534246575342E-2</v>
      </c>
      <c r="J77" s="4">
        <f>+Iberdrola!G61/365</f>
        <v>6.8963095890410961E-3</v>
      </c>
      <c r="K77" s="4">
        <f>+Iberdrola!H61/365</f>
        <v>3.9556191780821919E-3</v>
      </c>
      <c r="L77" s="125"/>
      <c r="M77" s="3">
        <f>+Iberdrola!I61</f>
        <v>0.22947500000000001</v>
      </c>
      <c r="N77" s="3">
        <f>+Iberdrola!I61</f>
        <v>0.22947500000000001</v>
      </c>
      <c r="O77" s="3">
        <f>+Iberdrola!I61</f>
        <v>0.22947500000000001</v>
      </c>
      <c r="P77" s="3">
        <f>+Iberdrola!J61</f>
        <v>0.18732599999999999</v>
      </c>
      <c r="Q77" s="3">
        <f>+Iberdrola!K61</f>
        <v>0.15978100000000001</v>
      </c>
      <c r="R77" s="3">
        <f>+Iberdrola!L61</f>
        <v>0.138408</v>
      </c>
      <c r="S77" s="3"/>
      <c r="T77" s="2"/>
      <c r="U77" s="2" t="str">
        <f>+Iberdrola!O60</f>
        <v>dto 0,02€/Kwh si consumo &gt;40MWh/a</v>
      </c>
      <c r="V77" s="2"/>
      <c r="W77" s="2"/>
      <c r="X77" s="299">
        <f>+Iberdrola!P61</f>
        <v>0.01</v>
      </c>
      <c r="Y77" s="2"/>
      <c r="Z77" s="1" t="s">
        <v>22</v>
      </c>
    </row>
    <row r="78" spans="1:26">
      <c r="A78" s="1" t="s">
        <v>323</v>
      </c>
      <c r="B78" s="1" t="s">
        <v>159</v>
      </c>
      <c r="C78" s="1" t="s">
        <v>24</v>
      </c>
      <c r="D78" s="124" t="str">
        <f>+Iberdrola!B62</f>
        <v>3.0TD Plan Verde 15%TE</v>
      </c>
      <c r="E78" s="1" t="s">
        <v>163</v>
      </c>
      <c r="F78" s="4">
        <f>+Iberdrola!C62/365</f>
        <v>6.22339397260274E-2</v>
      </c>
      <c r="G78" s="4">
        <f>+Iberdrola!D62/365</f>
        <v>4.0068668493150682E-2</v>
      </c>
      <c r="H78" s="4">
        <f>+Iberdrola!E62/365</f>
        <v>2.7062238356164385E-2</v>
      </c>
      <c r="I78" s="4">
        <f>+Iberdrola!F62/365</f>
        <v>2.1057323287671233E-2</v>
      </c>
      <c r="J78" s="4">
        <f>+Iberdrola!G62/365</f>
        <v>1.4804243835616439E-2</v>
      </c>
      <c r="K78" s="4">
        <f>+Iberdrola!H62/365</f>
        <v>1.0912775342465753E-2</v>
      </c>
      <c r="L78" s="125"/>
      <c r="M78" s="3">
        <f>+Iberdrola!I62</f>
        <v>0.22683519999999999</v>
      </c>
      <c r="N78" s="3">
        <f>+Iberdrola!I62</f>
        <v>0.22683519999999999</v>
      </c>
      <c r="O78" s="3">
        <f>+Iberdrola!I62</f>
        <v>0.22683519999999999</v>
      </c>
      <c r="P78" s="3">
        <f>+Iberdrola!J62</f>
        <v>0.19061939999999997</v>
      </c>
      <c r="Q78" s="3">
        <f>+Iberdrola!K62</f>
        <v>0.16512159999999998</v>
      </c>
      <c r="R78" s="3">
        <f>+Iberdrola!L62</f>
        <v>0.13839905</v>
      </c>
      <c r="S78" s="3"/>
      <c r="T78" s="2">
        <v>0.15</v>
      </c>
      <c r="U78" s="2" t="str">
        <f>+Iberdrola!O61</f>
        <v>15% s/Te</v>
      </c>
      <c r="V78" s="2"/>
      <c r="W78" s="2"/>
      <c r="X78" s="299">
        <f>+Iberdrola!P62</f>
        <v>0.03</v>
      </c>
      <c r="Y78" s="2"/>
      <c r="Z78" s="1" t="s">
        <v>22</v>
      </c>
    </row>
    <row r="79" spans="1:26">
      <c r="A79" s="1" t="s">
        <v>323</v>
      </c>
      <c r="B79" s="1" t="s">
        <v>159</v>
      </c>
      <c r="C79" s="1" t="s">
        <v>24</v>
      </c>
      <c r="D79" s="124" t="str">
        <f>+Iberdrola!B63</f>
        <v>3.0TD Plan OMIE 0</v>
      </c>
      <c r="E79" s="1" t="s">
        <v>163</v>
      </c>
      <c r="F79" s="4">
        <f>+Iberdrola!C63/365</f>
        <v>5.5852079452054788E-2</v>
      </c>
      <c r="G79" s="4">
        <f>+Iberdrola!D63/365</f>
        <v>2.9101824657534248E-2</v>
      </c>
      <c r="H79" s="4">
        <f>+Iberdrola!E63/365</f>
        <v>1.2287221917808218E-2</v>
      </c>
      <c r="I79" s="4">
        <f>+Iberdrola!F63/365</f>
        <v>1.0656534246575342E-2</v>
      </c>
      <c r="J79" s="4">
        <f>+Iberdrola!G63/365</f>
        <v>6.8963095890410961E-3</v>
      </c>
      <c r="K79" s="4">
        <f>+Iberdrola!H63/365</f>
        <v>3.9556191780821919E-3</v>
      </c>
      <c r="L79" s="125"/>
      <c r="M79" s="3">
        <f>+Iberdrola!I63</f>
        <v>3.2000000000000001E-2</v>
      </c>
      <c r="N79" s="3">
        <f>+Iberdrola!I63</f>
        <v>3.2000000000000001E-2</v>
      </c>
      <c r="O79" s="3">
        <f>+Iberdrola!I63</f>
        <v>3.2000000000000001E-2</v>
      </c>
      <c r="P79" s="3"/>
      <c r="Q79" s="3"/>
      <c r="R79" s="3"/>
      <c r="S79" s="3"/>
      <c r="T79" s="2">
        <v>0.15</v>
      </c>
      <c r="U79" s="2" t="str">
        <f>+Iberdrola!O62</f>
        <v>15% s/Te</v>
      </c>
      <c r="V79" s="2"/>
      <c r="W79" s="2"/>
      <c r="X79" s="299" t="str">
        <f>+Iberdrola!P63</f>
        <v>PVPC</v>
      </c>
      <c r="Y79" s="2"/>
      <c r="Z79" s="1" t="s">
        <v>22</v>
      </c>
    </row>
    <row r="80" spans="1:26">
      <c r="A80" s="1" t="s">
        <v>323</v>
      </c>
      <c r="B80" s="1" t="s">
        <v>159</v>
      </c>
      <c r="C80" s="1" t="s">
        <v>24</v>
      </c>
      <c r="D80" s="124" t="str">
        <f>+Iberdrola!B64</f>
        <v>3.0TD Plan OMIE 1</v>
      </c>
      <c r="E80" s="1" t="s">
        <v>163</v>
      </c>
      <c r="F80" s="4">
        <f>+Iberdrola!C64/365</f>
        <v>5.5852079452054788E-2</v>
      </c>
      <c r="G80" s="4">
        <f>+Iberdrola!D64/365</f>
        <v>2.9101824657534248E-2</v>
      </c>
      <c r="H80" s="4">
        <f>+Iberdrola!E64/365</f>
        <v>1.2287221917808218E-2</v>
      </c>
      <c r="I80" s="4">
        <f>+Iberdrola!F64/365</f>
        <v>1.0656534246575342E-2</v>
      </c>
      <c r="J80" s="4">
        <f>+Iberdrola!G64/365</f>
        <v>6.8963095890410961E-3</v>
      </c>
      <c r="K80" s="4">
        <f>+Iberdrola!H64/365</f>
        <v>3.9556191780821919E-3</v>
      </c>
      <c r="L80" s="125"/>
      <c r="M80" s="3">
        <f>+Iberdrola!I64</f>
        <v>2.5999999999999999E-2</v>
      </c>
      <c r="N80" s="3">
        <f>+Iberdrola!I64</f>
        <v>2.5999999999999999E-2</v>
      </c>
      <c r="O80" s="3">
        <f>+Iberdrola!I64</f>
        <v>2.5999999999999999E-2</v>
      </c>
      <c r="P80" s="3"/>
      <c r="Q80" s="3"/>
      <c r="R80" s="3"/>
      <c r="S80" s="3"/>
      <c r="T80" s="2"/>
      <c r="U80" s="2" t="str">
        <f>+Iberdrola!O63</f>
        <v>s/ dto</v>
      </c>
      <c r="V80" s="2"/>
      <c r="W80" s="2"/>
      <c r="X80" s="299" t="str">
        <f>+Iberdrola!P64</f>
        <v>PVPC</v>
      </c>
      <c r="Y80" s="2"/>
      <c r="Z80" s="1" t="s">
        <v>22</v>
      </c>
    </row>
    <row r="81" spans="1:26">
      <c r="A81" s="1" t="s">
        <v>323</v>
      </c>
      <c r="B81" s="1" t="s">
        <v>159</v>
      </c>
      <c r="C81" s="1" t="s">
        <v>24</v>
      </c>
      <c r="D81" s="124" t="str">
        <f>+Iberdrola!B65</f>
        <v>3.0TD Plan OMIE 2</v>
      </c>
      <c r="E81" s="1" t="s">
        <v>163</v>
      </c>
      <c r="F81" s="4">
        <f>+Iberdrola!C65/365</f>
        <v>5.5852079452054788E-2</v>
      </c>
      <c r="G81" s="4">
        <f>+Iberdrola!D65/365</f>
        <v>2.9101824657534248E-2</v>
      </c>
      <c r="H81" s="4">
        <f>+Iberdrola!E65/365</f>
        <v>1.2287221917808218E-2</v>
      </c>
      <c r="I81" s="4">
        <f>+Iberdrola!F65/365</f>
        <v>1.0656534246575342E-2</v>
      </c>
      <c r="J81" s="4">
        <f>+Iberdrola!G65/365</f>
        <v>6.8963095890410961E-3</v>
      </c>
      <c r="K81" s="4">
        <f>+Iberdrola!H65/365</f>
        <v>3.9556191780821919E-3</v>
      </c>
      <c r="L81" s="125"/>
      <c r="M81" s="3">
        <f>+Iberdrola!I65</f>
        <v>0.02</v>
      </c>
      <c r="N81" s="3">
        <f>+Iberdrola!I65</f>
        <v>0.02</v>
      </c>
      <c r="O81" s="3">
        <f>+Iberdrola!I65</f>
        <v>0.02</v>
      </c>
      <c r="P81" s="3"/>
      <c r="Q81" s="3"/>
      <c r="R81" s="3"/>
      <c r="S81" s="3"/>
      <c r="T81" s="2"/>
      <c r="U81" s="2" t="str">
        <f>+Iberdrola!O64</f>
        <v>s/ dto</v>
      </c>
      <c r="V81" s="2"/>
      <c r="W81" s="2"/>
      <c r="X81" s="299" t="str">
        <f>+Iberdrola!P65</f>
        <v>PVPC</v>
      </c>
      <c r="Y81" s="2"/>
      <c r="Z81" s="1" t="s">
        <v>22</v>
      </c>
    </row>
    <row r="82" spans="1:26">
      <c r="A82" s="1" t="s">
        <v>323</v>
      </c>
      <c r="B82" s="1" t="s">
        <v>159</v>
      </c>
      <c r="C82" s="1" t="s">
        <v>24</v>
      </c>
      <c r="D82" s="124" t="str">
        <f>+Iberdrola!B66</f>
        <v>3.0TD Plan OMIE 3</v>
      </c>
      <c r="E82" s="1" t="s">
        <v>163</v>
      </c>
      <c r="F82" s="4">
        <f>+Iberdrola!C66/365</f>
        <v>5.5852079452054788E-2</v>
      </c>
      <c r="G82" s="4">
        <f>+Iberdrola!D66/365</f>
        <v>2.9101824657534248E-2</v>
      </c>
      <c r="H82" s="4">
        <f>+Iberdrola!E66/365</f>
        <v>1.2287221917808218E-2</v>
      </c>
      <c r="I82" s="4">
        <f>+Iberdrola!F66/365</f>
        <v>1.0656534246575342E-2</v>
      </c>
      <c r="J82" s="4">
        <f>+Iberdrola!G66/365</f>
        <v>6.8963095890410961E-3</v>
      </c>
      <c r="K82" s="4">
        <f>+Iberdrola!H66/365</f>
        <v>3.9556191780821919E-3</v>
      </c>
      <c r="L82" s="125"/>
      <c r="M82" s="3">
        <f>+Iberdrola!I66</f>
        <v>0.01</v>
      </c>
      <c r="N82" s="3">
        <f>+Iberdrola!I66</f>
        <v>0.01</v>
      </c>
      <c r="O82" s="3">
        <f>+Iberdrola!I66</f>
        <v>0.01</v>
      </c>
      <c r="P82" s="3"/>
      <c r="Q82" s="3"/>
      <c r="R82" s="3"/>
      <c r="S82" s="3"/>
      <c r="T82" s="2"/>
      <c r="U82" s="2" t="str">
        <f>+Iberdrola!O65</f>
        <v>s/ dto</v>
      </c>
      <c r="V82" s="2"/>
      <c r="W82" s="2"/>
      <c r="X82" s="299" t="str">
        <f>+Iberdrola!P66</f>
        <v>PVPC</v>
      </c>
      <c r="Y82" s="2"/>
      <c r="Z82" s="1" t="s">
        <v>22</v>
      </c>
    </row>
    <row r="83" spans="1:26">
      <c r="A83" s="1" t="s">
        <v>323</v>
      </c>
      <c r="B83" s="1" t="s">
        <v>159</v>
      </c>
      <c r="C83" s="1" t="s">
        <v>24</v>
      </c>
      <c r="D83" s="124" t="str">
        <f>+Iberdrola!B67</f>
        <v>3.0TD Eventual/Temporal (s/IE)</v>
      </c>
      <c r="E83" s="1" t="s">
        <v>163</v>
      </c>
      <c r="F83" s="4">
        <f>+Iberdrola!C67/365</f>
        <v>0.10308688767123288</v>
      </c>
      <c r="G83" s="4">
        <f>+Iberdrola!D67/365</f>
        <v>7.0037876712328764E-2</v>
      </c>
      <c r="H83" s="4">
        <f>+Iberdrola!E67/365</f>
        <v>2.6028575342465759E-2</v>
      </c>
      <c r="I83" s="4">
        <f>+Iberdrola!F67/365</f>
        <v>2.2508421917808219E-2</v>
      </c>
      <c r="J83" s="4">
        <f>+Iberdrola!G67/365</f>
        <v>1.4452235616438356E-2</v>
      </c>
      <c r="K83" s="4">
        <f>+Iberdrola!H67/365</f>
        <v>1.0125799999999999E-2</v>
      </c>
      <c r="L83" s="125"/>
      <c r="M83" s="3">
        <f>+Iberdrola!I67</f>
        <v>0.35483199999999998</v>
      </c>
      <c r="N83" s="3">
        <f>+Iberdrola!I67</f>
        <v>0.35483199999999998</v>
      </c>
      <c r="O83" s="3">
        <f>+Iberdrola!I67</f>
        <v>0.35483199999999998</v>
      </c>
      <c r="P83" s="3">
        <f>+Iberdrola!J67</f>
        <v>0.32506799999999997</v>
      </c>
      <c r="Q83" s="3">
        <f>+Iberdrola!K67</f>
        <v>0.29702200000000001</v>
      </c>
      <c r="R83" s="3">
        <f>+Iberdrola!L67</f>
        <v>0.28087200000000001</v>
      </c>
      <c r="S83" s="3"/>
      <c r="T83" s="2"/>
      <c r="U83" s="2" t="str">
        <f>+Iberdrola!O66</f>
        <v>s/ dto</v>
      </c>
      <c r="V83" s="2"/>
      <c r="W83" s="2"/>
      <c r="X83" s="299">
        <f>+Iberdrola!P67</f>
        <v>0.03</v>
      </c>
      <c r="Y83" s="2"/>
      <c r="Z83" s="1" t="s">
        <v>22</v>
      </c>
    </row>
    <row r="84" spans="1:26">
      <c r="A84" s="1" t="s">
        <v>323</v>
      </c>
      <c r="B84" s="1" t="s">
        <v>159</v>
      </c>
      <c r="C84" s="1" t="s">
        <v>24</v>
      </c>
      <c r="D84" s="124" t="str">
        <f>+Iberdrola!B71</f>
        <v>6.1TD Plan Exclusivo 15%TE</v>
      </c>
      <c r="E84" s="1" t="s">
        <v>164</v>
      </c>
      <c r="F84" s="4">
        <f>+Iberdrola!C71/365</f>
        <v>8.1109027397260267E-2</v>
      </c>
      <c r="G84" s="4">
        <f>+Iberdrola!D71/365</f>
        <v>4.251897808219178E-2</v>
      </c>
      <c r="H84" s="4">
        <f>+Iberdrola!E71/365</f>
        <v>1.8644684931506849E-2</v>
      </c>
      <c r="I84" s="4">
        <f>+Iberdrola!F71/365</f>
        <v>1.4787008219178083E-2</v>
      </c>
      <c r="J84" s="4">
        <f>+Iberdrola!G71/365</f>
        <v>5.8316219178082187E-3</v>
      </c>
      <c r="K84" s="4">
        <f>+Iberdrola!H71/365</f>
        <v>2.7554876712328766E-3</v>
      </c>
      <c r="L84" s="125"/>
      <c r="M84" s="3">
        <f>+Iberdrola!I71</f>
        <v>0.20851600000000001</v>
      </c>
      <c r="N84" s="3">
        <f>+Iberdrola!I71</f>
        <v>0.20851600000000001</v>
      </c>
      <c r="O84" s="3">
        <f>+Iberdrola!I71</f>
        <v>0.20851600000000001</v>
      </c>
      <c r="P84" s="3">
        <f>+Iberdrola!J71</f>
        <v>0.17827999999999999</v>
      </c>
      <c r="Q84" s="3">
        <f>+Iberdrola!K71</f>
        <v>0.16009300000000001</v>
      </c>
      <c r="R84" s="3">
        <f>+Iberdrola!L71</f>
        <v>0.14599000000000001</v>
      </c>
      <c r="S84" s="3"/>
      <c r="T84" s="2"/>
      <c r="U84" s="2">
        <f>+Iberdrola!O70</f>
        <v>0</v>
      </c>
      <c r="V84" s="2"/>
      <c r="W84" s="2"/>
      <c r="X84" s="299">
        <f>+Iberdrola!P71</f>
        <v>0.05</v>
      </c>
      <c r="Y84" s="2"/>
      <c r="Z84" s="1" t="s">
        <v>22</v>
      </c>
    </row>
    <row r="85" spans="1:26">
      <c r="A85" s="1" t="s">
        <v>323</v>
      </c>
      <c r="B85" s="1" t="s">
        <v>159</v>
      </c>
      <c r="C85" s="1" t="s">
        <v>24</v>
      </c>
      <c r="D85" s="124" t="str">
        <f>+Iberdrola!B72</f>
        <v>6.1TD Empresas 10%TE</v>
      </c>
      <c r="E85" s="1" t="s">
        <v>164</v>
      </c>
      <c r="F85" s="4">
        <f>+Iberdrola!C72/365</f>
        <v>8.1109027397260267E-2</v>
      </c>
      <c r="G85" s="4">
        <f>+Iberdrola!D72/365</f>
        <v>4.251897808219178E-2</v>
      </c>
      <c r="H85" s="4">
        <f>+Iberdrola!E72/365</f>
        <v>1.8644684931506849E-2</v>
      </c>
      <c r="I85" s="4">
        <f>+Iberdrola!F72/365</f>
        <v>1.4787008219178083E-2</v>
      </c>
      <c r="J85" s="4">
        <f>+Iberdrola!G72/365</f>
        <v>5.8316219178082187E-3</v>
      </c>
      <c r="K85" s="4">
        <f>+Iberdrola!H72/365</f>
        <v>2.7554876712328766E-3</v>
      </c>
      <c r="L85" s="125"/>
      <c r="M85" s="3">
        <f>+Iberdrola!I72</f>
        <v>0.18562999999999999</v>
      </c>
      <c r="N85" s="3">
        <f>+Iberdrola!I72</f>
        <v>0.18562999999999999</v>
      </c>
      <c r="O85" s="3">
        <f>+Iberdrola!I72</f>
        <v>0.18562999999999999</v>
      </c>
      <c r="P85" s="3">
        <f>+Iberdrola!J72</f>
        <v>0.16004399999999999</v>
      </c>
      <c r="Q85" s="3">
        <f>+Iberdrola!K72</f>
        <v>0.14049600000000001</v>
      </c>
      <c r="R85" s="3">
        <f>+Iberdrola!L72</f>
        <v>0.12700600000000001</v>
      </c>
      <c r="S85" s="3"/>
      <c r="T85" s="2">
        <v>0.15</v>
      </c>
      <c r="U85" s="2" t="str">
        <f>+Iberdrola!O71</f>
        <v>15% s/Te</v>
      </c>
      <c r="V85" s="2"/>
      <c r="W85" s="2"/>
      <c r="X85" s="299">
        <f>+Iberdrola!P72</f>
        <v>0.01</v>
      </c>
      <c r="Y85" s="2"/>
      <c r="Z85" s="1" t="s">
        <v>22</v>
      </c>
    </row>
    <row r="86" spans="1:26">
      <c r="A86" s="1" t="s">
        <v>323</v>
      </c>
      <c r="B86" s="1" t="s">
        <v>159</v>
      </c>
      <c r="C86" s="1" t="s">
        <v>24</v>
      </c>
      <c r="D86" s="124" t="str">
        <f>+Iberdrola!B73</f>
        <v>6.1TD Plan Especial 15%TE</v>
      </c>
      <c r="E86" s="1" t="s">
        <v>164</v>
      </c>
      <c r="F86" s="4">
        <f>+Iberdrola!C73/365</f>
        <v>8.1109027397260267E-2</v>
      </c>
      <c r="G86" s="4">
        <f>+Iberdrola!D73/365</f>
        <v>4.251897808219178E-2</v>
      </c>
      <c r="H86" s="4">
        <f>+Iberdrola!E73/365</f>
        <v>1.8644684931506849E-2</v>
      </c>
      <c r="I86" s="4">
        <f>+Iberdrola!F73/365</f>
        <v>1.4787008219178083E-2</v>
      </c>
      <c r="J86" s="4">
        <f>+Iberdrola!G73/365</f>
        <v>5.8316219178082187E-3</v>
      </c>
      <c r="K86" s="4">
        <f>+Iberdrola!H73/365</f>
        <v>2.7554876712328766E-3</v>
      </c>
      <c r="L86" s="125"/>
      <c r="M86" s="3">
        <f>+Iberdrola!I73</f>
        <v>0.196632</v>
      </c>
      <c r="N86" s="3">
        <f>+Iberdrola!I73</f>
        <v>0.196632</v>
      </c>
      <c r="O86" s="3">
        <f>+Iberdrola!I73</f>
        <v>0.196632</v>
      </c>
      <c r="P86" s="3">
        <f>+Iberdrola!J73</f>
        <v>0.16054499999999999</v>
      </c>
      <c r="Q86" s="3">
        <f>+Iberdrola!K73</f>
        <v>0.135931</v>
      </c>
      <c r="R86" s="3">
        <f>+Iberdrola!L73</f>
        <v>0.121418</v>
      </c>
      <c r="S86" s="3"/>
      <c r="T86" s="2">
        <v>0.1</v>
      </c>
      <c r="U86" s="2" t="str">
        <f>+Iberdrola!O72</f>
        <v>10% s/Te</v>
      </c>
      <c r="V86" s="2"/>
      <c r="W86" s="2"/>
      <c r="X86" s="299">
        <f>+Iberdrola!P73</f>
        <v>0.01</v>
      </c>
      <c r="Y86" s="2"/>
      <c r="Z86" s="1" t="s">
        <v>22</v>
      </c>
    </row>
    <row r="87" spans="1:26">
      <c r="A87" s="1" t="s">
        <v>323</v>
      </c>
      <c r="B87" s="1" t="s">
        <v>159</v>
      </c>
      <c r="C87" s="1" t="s">
        <v>24</v>
      </c>
      <c r="D87" s="124" t="str">
        <f>+Iberdrola!B74</f>
        <v>6.1TD Empresa Plus</v>
      </c>
      <c r="E87" s="1" t="s">
        <v>164</v>
      </c>
      <c r="F87" s="4">
        <f>+Iberdrola!C74/365</f>
        <v>8.1109027397260267E-2</v>
      </c>
      <c r="G87" s="4">
        <f>+Iberdrola!D74/365</f>
        <v>4.251897808219178E-2</v>
      </c>
      <c r="H87" s="4">
        <f>+Iberdrola!E74/365</f>
        <v>1.8644684931506849E-2</v>
      </c>
      <c r="I87" s="4">
        <f>+Iberdrola!F74/365</f>
        <v>1.4787008219178083E-2</v>
      </c>
      <c r="J87" s="4">
        <f>+Iberdrola!G74/365</f>
        <v>5.8316219178082187E-3</v>
      </c>
      <c r="K87" s="4">
        <f>+Iberdrola!H74/365</f>
        <v>2.7554876712328766E-3</v>
      </c>
      <c r="L87" s="125"/>
      <c r="M87" s="3">
        <f>+Iberdrola!I74</f>
        <v>0.17391200000000001</v>
      </c>
      <c r="N87" s="3">
        <f>+Iberdrola!I74</f>
        <v>0.17391200000000001</v>
      </c>
      <c r="O87" s="3">
        <f>+Iberdrola!I74</f>
        <v>0.17391200000000001</v>
      </c>
      <c r="P87" s="3">
        <f>+Iberdrola!J74</f>
        <v>0.14454700000000001</v>
      </c>
      <c r="Q87" s="3">
        <f>+Iberdrola!K74</f>
        <v>0.120947</v>
      </c>
      <c r="R87" s="3">
        <f>+Iberdrola!L74</f>
        <v>0.111999</v>
      </c>
      <c r="S87" s="3"/>
      <c r="T87" s="2">
        <v>0.15</v>
      </c>
      <c r="U87" s="2" t="str">
        <f>+Iberdrola!O73</f>
        <v>15% s/Te</v>
      </c>
      <c r="V87" s="2"/>
      <c r="W87" s="2"/>
      <c r="X87" s="299">
        <f>+Iberdrola!P74</f>
        <v>0.01</v>
      </c>
      <c r="Y87" s="2"/>
      <c r="Z87" s="1" t="s">
        <v>22</v>
      </c>
    </row>
    <row r="88" spans="1:26">
      <c r="A88" s="1" t="s">
        <v>323</v>
      </c>
      <c r="B88" s="1" t="s">
        <v>159</v>
      </c>
      <c r="C88" s="1" t="s">
        <v>24</v>
      </c>
      <c r="D88" s="124" t="str">
        <f>+Iberdrola!B75</f>
        <v>6.1TD Plan Verde 15%TE</v>
      </c>
      <c r="E88" s="1" t="s">
        <v>164</v>
      </c>
      <c r="F88" s="4">
        <f>+Iberdrola!C75/365</f>
        <v>8.3848753424657529E-2</v>
      </c>
      <c r="G88" s="4">
        <f>+Iberdrola!D75/365</f>
        <v>4.5258704109589043E-2</v>
      </c>
      <c r="H88" s="4">
        <f>+Iberdrola!E75/365</f>
        <v>2.1384410958904108E-2</v>
      </c>
      <c r="I88" s="4">
        <f>+Iberdrola!F75/365</f>
        <v>1.7526734246575342E-2</v>
      </c>
      <c r="J88" s="4">
        <f>+Iberdrola!G75/365</f>
        <v>8.5713479452054799E-3</v>
      </c>
      <c r="K88" s="4">
        <f>+Iberdrola!H75/365</f>
        <v>5.4952136986301369E-3</v>
      </c>
      <c r="L88" s="125"/>
      <c r="M88" s="3">
        <f>+Iberdrola!I75</f>
        <v>0.197438</v>
      </c>
      <c r="N88" s="3">
        <f>+Iberdrola!I75</f>
        <v>0.197438</v>
      </c>
      <c r="O88" s="3">
        <f>+Iberdrola!I75</f>
        <v>0.197438</v>
      </c>
      <c r="P88" s="3">
        <f>+Iberdrola!J75</f>
        <v>0.16545199999999999</v>
      </c>
      <c r="Q88" s="3">
        <f>+Iberdrola!K75</f>
        <v>0.145955</v>
      </c>
      <c r="R88" s="3">
        <f>+Iberdrola!L75</f>
        <v>0.13249900000000001</v>
      </c>
      <c r="S88" s="3"/>
      <c r="T88" s="2"/>
      <c r="U88" s="2" t="str">
        <f>+Iberdrola!O74</f>
        <v>dto 0,01€/Kwh si consumo &gt;100MWh/a</v>
      </c>
      <c r="V88" s="2"/>
      <c r="W88" s="2"/>
      <c r="X88" s="299">
        <f>+Iberdrola!P75</f>
        <v>0.03</v>
      </c>
      <c r="Y88" s="2"/>
      <c r="Z88" s="1" t="s">
        <v>22</v>
      </c>
    </row>
    <row r="89" spans="1:26">
      <c r="A89" s="1" t="s">
        <v>323</v>
      </c>
      <c r="B89" s="1" t="s">
        <v>159</v>
      </c>
      <c r="C89" s="1" t="s">
        <v>24</v>
      </c>
      <c r="D89" s="124" t="str">
        <f>+Iberdrola!B76</f>
        <v>6.1TD Plan Regantes</v>
      </c>
      <c r="E89" s="1" t="s">
        <v>164</v>
      </c>
      <c r="F89" s="4">
        <f>+Iberdrola!C76/365</f>
        <v>8.1109027397260267E-2</v>
      </c>
      <c r="G89" s="4">
        <f>+Iberdrola!D76/365</f>
        <v>4.251897808219178E-2</v>
      </c>
      <c r="H89" s="4">
        <f>+Iberdrola!E76/365</f>
        <v>1.8644684931506849E-2</v>
      </c>
      <c r="I89" s="4">
        <f>+Iberdrola!F76/365</f>
        <v>1.4787008219178083E-2</v>
      </c>
      <c r="J89" s="4">
        <f>+Iberdrola!G76/365</f>
        <v>5.8316219178082187E-3</v>
      </c>
      <c r="K89" s="4">
        <f>+Iberdrola!H76/365</f>
        <v>2.7554876712328766E-3</v>
      </c>
      <c r="L89" s="125"/>
      <c r="M89" s="3">
        <f>+Iberdrola!I76</f>
        <v>0.194442</v>
      </c>
      <c r="N89" s="3">
        <f>+Iberdrola!I76</f>
        <v>0.194442</v>
      </c>
      <c r="O89" s="3">
        <f>+Iberdrola!I76</f>
        <v>0.194442</v>
      </c>
      <c r="P89" s="3">
        <f>+Iberdrola!J76</f>
        <v>0.17036999999999999</v>
      </c>
      <c r="Q89" s="3">
        <f>+Iberdrola!K76</f>
        <v>0.15632099999999999</v>
      </c>
      <c r="R89" s="3">
        <f>+Iberdrola!L76</f>
        <v>0.13231100000000001</v>
      </c>
      <c r="S89" s="3"/>
      <c r="T89" s="2">
        <v>0.15</v>
      </c>
      <c r="U89" s="2" t="str">
        <f>+Iberdrola!O75</f>
        <v>15% s/Te</v>
      </c>
      <c r="V89" s="2"/>
      <c r="W89" s="2"/>
      <c r="X89" s="299">
        <f>+Iberdrola!P76</f>
        <v>0.03</v>
      </c>
      <c r="Y89" s="2"/>
      <c r="Z89" s="1" t="s">
        <v>22</v>
      </c>
    </row>
    <row r="90" spans="1:26">
      <c r="A90" s="1" t="s">
        <v>323</v>
      </c>
      <c r="B90" s="1" t="s">
        <v>159</v>
      </c>
      <c r="C90" s="1" t="s">
        <v>24</v>
      </c>
      <c r="D90" s="124" t="str">
        <f>+Iberdrola!B77</f>
        <v>6.1TD Plan OMIE 0</v>
      </c>
      <c r="E90" s="1" t="s">
        <v>164</v>
      </c>
      <c r="F90" s="4">
        <f>+Iberdrola!C77/365</f>
        <v>8.1109027397260267E-2</v>
      </c>
      <c r="G90" s="4">
        <f>+Iberdrola!D77/365</f>
        <v>4.251897808219178E-2</v>
      </c>
      <c r="H90" s="4">
        <f>+Iberdrola!E77/365</f>
        <v>1.8644684931506849E-2</v>
      </c>
      <c r="I90" s="4">
        <f>+Iberdrola!F77/365</f>
        <v>1.4787008219178083E-2</v>
      </c>
      <c r="J90" s="4">
        <f>+Iberdrola!G77/365</f>
        <v>5.8316219178082187E-3</v>
      </c>
      <c r="K90" s="4">
        <f>+Iberdrola!H77/365</f>
        <v>2.7554876712328766E-3</v>
      </c>
      <c r="L90" s="125"/>
      <c r="M90" s="3">
        <f>+Iberdrola!I77</f>
        <v>0.01</v>
      </c>
      <c r="N90" s="3">
        <f>+Iberdrola!I77</f>
        <v>0.01</v>
      </c>
      <c r="O90" s="3">
        <f>+Iberdrola!I77</f>
        <v>0.01</v>
      </c>
      <c r="P90" s="3"/>
      <c r="Q90" s="3"/>
      <c r="R90" s="3"/>
      <c r="S90" s="3"/>
      <c r="T90" s="2"/>
      <c r="U90" s="2" t="str">
        <f>+Iberdrola!O76</f>
        <v>s/ dto</v>
      </c>
      <c r="V90" s="2"/>
      <c r="W90" s="2"/>
      <c r="X90" s="299" t="str">
        <f>+Iberdrola!P77</f>
        <v>PVPC</v>
      </c>
      <c r="Y90" s="2"/>
      <c r="Z90" s="1" t="s">
        <v>22</v>
      </c>
    </row>
    <row r="91" spans="1:26">
      <c r="A91" s="1" t="s">
        <v>323</v>
      </c>
      <c r="B91" s="1" t="s">
        <v>159</v>
      </c>
      <c r="C91" s="1" t="s">
        <v>24</v>
      </c>
      <c r="D91" s="124" t="str">
        <f>+Iberdrola!B78</f>
        <v>6.1TD Plan OMIE 2</v>
      </c>
      <c r="E91" s="1" t="s">
        <v>164</v>
      </c>
      <c r="F91" s="4">
        <f>+Iberdrola!C78/365</f>
        <v>8.1109027397260267E-2</v>
      </c>
      <c r="G91" s="4">
        <f>+Iberdrola!D78/365</f>
        <v>4.251897808219178E-2</v>
      </c>
      <c r="H91" s="4">
        <f>+Iberdrola!E78/365</f>
        <v>1.8644684931506849E-2</v>
      </c>
      <c r="I91" s="4">
        <f>+Iberdrola!F78/365</f>
        <v>1.4787008219178083E-2</v>
      </c>
      <c r="J91" s="4">
        <f>+Iberdrola!G78/365</f>
        <v>5.8316219178082187E-3</v>
      </c>
      <c r="K91" s="4">
        <f>+Iberdrola!H78/365</f>
        <v>2.7554876712328766E-3</v>
      </c>
      <c r="L91" s="125"/>
      <c r="M91" s="3">
        <f>+Iberdrola!I78</f>
        <v>5.0000000000000001E-3</v>
      </c>
      <c r="N91" s="3">
        <f>+Iberdrola!I78</f>
        <v>5.0000000000000001E-3</v>
      </c>
      <c r="O91" s="3">
        <f>+Iberdrola!I78</f>
        <v>5.0000000000000001E-3</v>
      </c>
      <c r="P91" s="3"/>
      <c r="Q91" s="3"/>
      <c r="R91" s="3"/>
      <c r="S91" s="3"/>
      <c r="T91" s="2"/>
      <c r="U91" s="2" t="str">
        <f>+Iberdrola!O77</f>
        <v>s/ dto</v>
      </c>
      <c r="V91" s="2"/>
      <c r="W91" s="2"/>
      <c r="X91" s="299" t="str">
        <f>+Iberdrola!P78</f>
        <v>PVPC</v>
      </c>
      <c r="Y91" s="2"/>
      <c r="Z91" s="1" t="s">
        <v>22</v>
      </c>
    </row>
    <row r="92" spans="1:26">
      <c r="A92" s="1" t="s">
        <v>323</v>
      </c>
      <c r="B92" s="1" t="s">
        <v>159</v>
      </c>
      <c r="C92" s="1" t="s">
        <v>24</v>
      </c>
      <c r="D92" s="124" t="str">
        <f>+Iberdrola!B79</f>
        <v>6.1TD Eventual/Temporal (s/IE)</v>
      </c>
      <c r="E92" s="1" t="s">
        <v>164</v>
      </c>
      <c r="F92" s="4">
        <f>+Iberdrola!C79/365</f>
        <v>0.15113854520547945</v>
      </c>
      <c r="G92" s="4">
        <f>+Iberdrola!D79/365</f>
        <v>0.12082129863013698</v>
      </c>
      <c r="H92" s="4">
        <f>+Iberdrola!E79/365</f>
        <v>5.9495780821917803E-2</v>
      </c>
      <c r="I92" s="4">
        <f>+Iberdrola!F79/365</f>
        <v>4.4153542465753426E-2</v>
      </c>
      <c r="J92" s="4">
        <f>+Iberdrola!G79/365</f>
        <v>6.317005479452055E-3</v>
      </c>
      <c r="K92" s="4">
        <f>+Iberdrola!H79/365</f>
        <v>3.2389999999999997E-3</v>
      </c>
      <c r="L92" s="125"/>
      <c r="M92" s="3">
        <f>+Iberdrola!I79</f>
        <v>0.27851599999999999</v>
      </c>
      <c r="N92" s="3">
        <f>+Iberdrola!I79</f>
        <v>0.27851599999999999</v>
      </c>
      <c r="O92" s="3">
        <f>+Iberdrola!I79</f>
        <v>0.27851599999999999</v>
      </c>
      <c r="P92" s="3">
        <f>+Iberdrola!J79</f>
        <v>0.24828</v>
      </c>
      <c r="Q92" s="3">
        <f>+Iberdrola!K79</f>
        <v>0.23009300000000002</v>
      </c>
      <c r="R92" s="3">
        <f>+Iberdrola!L79</f>
        <v>0.21599000000000002</v>
      </c>
      <c r="S92" s="3"/>
      <c r="T92" s="2"/>
      <c r="U92" s="2" t="str">
        <f>+Iberdrola!O78</f>
        <v>s/ dto</v>
      </c>
      <c r="V92" s="2"/>
      <c r="W92" s="2"/>
      <c r="X92" s="299">
        <f>+Iberdrola!P79</f>
        <v>0.03</v>
      </c>
      <c r="Y92" s="2"/>
      <c r="Z92" s="1" t="s">
        <v>22</v>
      </c>
    </row>
    <row r="93" spans="1:26">
      <c r="A93" s="1" t="s">
        <v>323</v>
      </c>
      <c r="B93" s="1" t="s">
        <v>159</v>
      </c>
      <c r="C93" s="1" t="s">
        <v>24</v>
      </c>
      <c r="D93" s="124" t="str">
        <f>+Iberdrola!B81</f>
        <v>6.2TD Plan OMIE 1</v>
      </c>
      <c r="E93" s="1" t="s">
        <v>164</v>
      </c>
      <c r="F93" s="4">
        <f>+Iberdrola!C81/365</f>
        <v>5.5093490410958908E-2</v>
      </c>
      <c r="G93" s="4">
        <f>+Iberdrola!D81/365</f>
        <v>3.0461476712328767E-2</v>
      </c>
      <c r="H93" s="4">
        <f>+Iberdrola!E81/365</f>
        <v>1.0167468493150686E-2</v>
      </c>
      <c r="I93" s="4">
        <f>+Iberdrola!F81/365</f>
        <v>7.4799041095890409E-3</v>
      </c>
      <c r="J93" s="4">
        <f>+Iberdrola!G81/365</f>
        <v>3.4729589041095892E-3</v>
      </c>
      <c r="K93" s="4">
        <f>+Iberdrola!H81/365</f>
        <v>1.6611068493150684E-3</v>
      </c>
      <c r="L93" s="125"/>
      <c r="M93" s="3">
        <f>+Iberdrola!I81</f>
        <v>0.01</v>
      </c>
      <c r="N93" s="3">
        <f>+Iberdrola!I81</f>
        <v>0.01</v>
      </c>
      <c r="O93" s="3">
        <f>+Iberdrola!I81</f>
        <v>0.01</v>
      </c>
      <c r="P93" s="3"/>
      <c r="Q93" s="3"/>
      <c r="R93" s="3"/>
      <c r="S93" s="3"/>
      <c r="T93" s="2"/>
      <c r="U93" s="2">
        <f>+Iberdrola!O80</f>
        <v>0</v>
      </c>
      <c r="V93" s="2"/>
      <c r="W93" s="2"/>
      <c r="X93" s="299" t="str">
        <f>+Iberdrola!P81</f>
        <v>PVPC</v>
      </c>
      <c r="Y93" s="2"/>
      <c r="Z93" s="1" t="s">
        <v>22</v>
      </c>
    </row>
    <row r="94" spans="1:26">
      <c r="A94" s="1" t="s">
        <v>323</v>
      </c>
      <c r="B94" s="1" t="s">
        <v>159</v>
      </c>
      <c r="C94" s="1" t="s">
        <v>24</v>
      </c>
      <c r="D94" s="124" t="str">
        <f>+Iberdrola!B82</f>
        <v>6.2TD Eventual/Temporal (s/IE)</v>
      </c>
      <c r="E94" s="1" t="s">
        <v>164</v>
      </c>
      <c r="F94" s="4">
        <f>+Iberdrola!C82/365</f>
        <v>0.10645746301369863</v>
      </c>
      <c r="G94" s="4">
        <f>+Iberdrola!D82/365</f>
        <v>8.6682750684931489E-2</v>
      </c>
      <c r="H94" s="4">
        <f>+Iberdrola!E82/365</f>
        <v>3.6603367123287683E-2</v>
      </c>
      <c r="I94" s="4">
        <f>+Iberdrola!F82/365</f>
        <v>3.0360038356164385E-2</v>
      </c>
      <c r="J94" s="4">
        <f>+Iberdrola!G82/365</f>
        <v>3.8762547945205474E-3</v>
      </c>
      <c r="K94" s="4">
        <f>+Iberdrola!H82/365</f>
        <v>2.0632931506849314E-3</v>
      </c>
      <c r="L94" s="125"/>
      <c r="M94" s="3">
        <f>+Iberdrola!I82</f>
        <v>0.25507800000000003</v>
      </c>
      <c r="N94" s="3">
        <f>+Iberdrola!I82</f>
        <v>0.25507800000000003</v>
      </c>
      <c r="O94" s="3">
        <f>+Iberdrola!I82</f>
        <v>0.25507800000000003</v>
      </c>
      <c r="P94" s="3">
        <f>+Iberdrola!J82</f>
        <v>0.245531</v>
      </c>
      <c r="Q94" s="3">
        <f>+Iberdrola!K82</f>
        <v>0.23173000000000002</v>
      </c>
      <c r="R94" s="3">
        <f>+Iberdrola!L82</f>
        <v>0.22343100000000002</v>
      </c>
      <c r="S94" s="3"/>
      <c r="T94" s="2"/>
      <c r="U94" s="2" t="str">
        <f>+Iberdrola!O81</f>
        <v>s/ dto</v>
      </c>
      <c r="V94" s="2"/>
      <c r="W94" s="2"/>
      <c r="X94" s="299">
        <f>+Iberdrola!P82</f>
        <v>0.03</v>
      </c>
      <c r="Y94" s="2"/>
      <c r="Z94" s="1" t="s">
        <v>22</v>
      </c>
    </row>
    <row r="95" spans="1:26">
      <c r="A95" s="1" t="s">
        <v>330</v>
      </c>
      <c r="B95" s="1" t="s">
        <v>18</v>
      </c>
      <c r="C95" s="1" t="s">
        <v>24</v>
      </c>
      <c r="D95" s="124" t="s">
        <v>331</v>
      </c>
      <c r="E95" s="1" t="s">
        <v>19</v>
      </c>
      <c r="F95" s="341">
        <v>9.7000000000000003E-2</v>
      </c>
      <c r="G95" s="341">
        <v>4.2999999999999997E-2</v>
      </c>
      <c r="L95" s="125"/>
      <c r="M95" s="3">
        <v>0.12</v>
      </c>
      <c r="N95" s="3">
        <f>+Tabla1[[#This Row],[ENERGIA 1]]</f>
        <v>0.12</v>
      </c>
      <c r="O95" s="3">
        <f>+Tabla1[[#This Row],[ENERGIA 2]]</f>
        <v>0.12</v>
      </c>
      <c r="S95" s="3"/>
      <c r="V95" s="2"/>
      <c r="W95" s="2"/>
      <c r="X95" s="299">
        <v>0.06</v>
      </c>
      <c r="Y95" s="2"/>
      <c r="Z95" s="1" t="s">
        <v>22</v>
      </c>
    </row>
    <row r="96" spans="1:26">
      <c r="A96" s="1" t="s">
        <v>330</v>
      </c>
      <c r="B96" s="1" t="s">
        <v>18</v>
      </c>
      <c r="C96" s="1" t="s">
        <v>24</v>
      </c>
      <c r="D96" s="124" t="s">
        <v>332</v>
      </c>
      <c r="E96" s="1" t="s">
        <v>19</v>
      </c>
      <c r="F96" s="341">
        <v>9.7000000000000003E-2</v>
      </c>
      <c r="G96" s="341">
        <v>4.2999999999999997E-2</v>
      </c>
      <c r="L96" s="125"/>
      <c r="M96" s="3">
        <v>0.2</v>
      </c>
      <c r="N96" s="3">
        <v>0.11799999999999999</v>
      </c>
      <c r="O96" s="3">
        <v>7.9000000000000001E-2</v>
      </c>
      <c r="S96" s="3"/>
      <c r="V96" s="2"/>
      <c r="W96" s="2"/>
      <c r="X96" s="299">
        <v>0.06</v>
      </c>
      <c r="Y96" s="2"/>
      <c r="Z96" s="1" t="s">
        <v>22</v>
      </c>
    </row>
    <row r="97" spans="1:26">
      <c r="A97" s="1" t="s">
        <v>330</v>
      </c>
      <c r="B97" s="1" t="s">
        <v>18</v>
      </c>
      <c r="C97" s="1" t="s">
        <v>102</v>
      </c>
      <c r="D97" s="124" t="s">
        <v>331</v>
      </c>
      <c r="E97" s="1" t="s">
        <v>112</v>
      </c>
      <c r="F97" s="341"/>
      <c r="G97" s="341"/>
      <c r="L97" s="125">
        <f>6.03*0.0328767123287671</f>
        <v>0.19824657534246562</v>
      </c>
      <c r="M97" s="3"/>
      <c r="N97" s="3"/>
      <c r="O97" s="3"/>
      <c r="S97" s="3">
        <v>6.6000000000000003E-2</v>
      </c>
      <c r="V97" s="2"/>
      <c r="W97" s="2"/>
      <c r="X97" s="299"/>
      <c r="Y97" s="2"/>
      <c r="Z97" s="1" t="s">
        <v>22</v>
      </c>
    </row>
    <row r="98" spans="1:26">
      <c r="A98" s="1" t="s">
        <v>330</v>
      </c>
      <c r="B98" s="1" t="s">
        <v>18</v>
      </c>
      <c r="C98" s="1" t="s">
        <v>102</v>
      </c>
      <c r="D98" s="124" t="s">
        <v>331</v>
      </c>
      <c r="E98" s="1" t="s">
        <v>115</v>
      </c>
      <c r="F98" s="341"/>
      <c r="G98" s="341"/>
      <c r="L98" s="125">
        <f>11.3*0.0328767123287671</f>
        <v>0.37150684931506822</v>
      </c>
      <c r="M98" s="3"/>
      <c r="N98" s="3"/>
      <c r="O98" s="3"/>
      <c r="S98" s="3">
        <v>6.8000000000000005E-2</v>
      </c>
      <c r="T98" s="2"/>
      <c r="V98" s="2"/>
      <c r="W98" s="2"/>
      <c r="X98" s="299"/>
      <c r="Y98" s="2"/>
      <c r="Z98" s="1" t="s">
        <v>22</v>
      </c>
    </row>
    <row r="99" spans="1:26">
      <c r="A99" s="1" t="s">
        <v>330</v>
      </c>
      <c r="B99" s="1" t="s">
        <v>18</v>
      </c>
      <c r="C99" s="1" t="s">
        <v>102</v>
      </c>
      <c r="D99" s="124" t="s">
        <v>331</v>
      </c>
      <c r="E99" s="1" t="s">
        <v>117</v>
      </c>
      <c r="F99" s="341"/>
      <c r="G99" s="341"/>
      <c r="L99" s="125">
        <f>20.71*0.0328767123287671</f>
        <v>0.68087671232876668</v>
      </c>
      <c r="M99" s="3"/>
      <c r="N99" s="3"/>
      <c r="O99" s="3"/>
      <c r="S99" s="3">
        <v>7.1999999999999995E-2</v>
      </c>
      <c r="T99" s="2"/>
      <c r="V99" s="2"/>
      <c r="W99" s="2"/>
      <c r="X99" s="299"/>
      <c r="Y99" s="2"/>
      <c r="Z99" s="1" t="s">
        <v>22</v>
      </c>
    </row>
    <row r="100" spans="1:26">
      <c r="A100" s="1" t="s">
        <v>330</v>
      </c>
      <c r="B100" s="1" t="s">
        <v>159</v>
      </c>
      <c r="C100" s="1" t="s">
        <v>24</v>
      </c>
      <c r="D100" s="124" t="s">
        <v>333</v>
      </c>
      <c r="E100" s="1" t="s">
        <v>19</v>
      </c>
      <c r="F100" s="4">
        <v>9.5000000000000001E-2</v>
      </c>
      <c r="G100" s="4">
        <v>0.04</v>
      </c>
      <c r="L100" s="125"/>
      <c r="M100" s="3">
        <v>0.129</v>
      </c>
      <c r="N100" s="3">
        <f>+Tabla1[[#This Row],[ENERGIA 1]]</f>
        <v>0.129</v>
      </c>
      <c r="O100" s="3">
        <f>+Tabla1[[#This Row],[ENERGIA 2]]</f>
        <v>0.129</v>
      </c>
      <c r="T100" s="2"/>
      <c r="V100" s="2"/>
      <c r="W100" s="2"/>
      <c r="X100" s="299">
        <v>0.06</v>
      </c>
      <c r="Y100" s="2"/>
      <c r="Z100" s="1" t="s">
        <v>22</v>
      </c>
    </row>
    <row r="101" spans="1:26">
      <c r="A101" s="1" t="s">
        <v>330</v>
      </c>
      <c r="B101" s="1" t="s">
        <v>159</v>
      </c>
      <c r="C101" s="1" t="s">
        <v>24</v>
      </c>
      <c r="D101" s="124" t="s">
        <v>334</v>
      </c>
      <c r="E101" s="1" t="s">
        <v>19</v>
      </c>
      <c r="F101" s="4">
        <v>9.5000000000000001E-2</v>
      </c>
      <c r="G101" s="4">
        <v>0.04</v>
      </c>
      <c r="L101" s="125"/>
      <c r="M101" s="3">
        <v>0.129</v>
      </c>
      <c r="N101" s="3">
        <f>+Tabla1[[#This Row],[ENERGIA 1]]</f>
        <v>0.129</v>
      </c>
      <c r="O101" s="3">
        <f>+Tabla1[[#This Row],[ENERGIA 2]]</f>
        <v>0.129</v>
      </c>
      <c r="T101" s="2"/>
      <c r="V101" s="2"/>
      <c r="W101" s="297"/>
      <c r="X101" s="299">
        <v>0.06</v>
      </c>
      <c r="Y101" s="2"/>
      <c r="Z101" s="1" t="s">
        <v>22</v>
      </c>
    </row>
    <row r="102" spans="1:26">
      <c r="A102" s="1" t="s">
        <v>335</v>
      </c>
      <c r="B102" s="1" t="s">
        <v>18</v>
      </c>
      <c r="C102" s="1" t="s">
        <v>24</v>
      </c>
      <c r="D102" s="124" t="s">
        <v>336</v>
      </c>
      <c r="E102" s="1" t="s">
        <v>19</v>
      </c>
      <c r="F102" s="4">
        <f>4.2908*0.0328767123287671/2</f>
        <v>7.0533698630136935E-2</v>
      </c>
      <c r="G102" s="4">
        <f>+Tabla1[[#This Row],[POTENCIA 1]]</f>
        <v>7.0533698630136935E-2</v>
      </c>
      <c r="L102" s="125"/>
      <c r="M102" s="3">
        <v>0.129</v>
      </c>
      <c r="N102" s="3">
        <f>+Tabla1[[#This Row],[ENERGIA 1]]</f>
        <v>0.129</v>
      </c>
      <c r="O102" s="3">
        <f>+Tabla1[[#This Row],[ENERGIA 2]]</f>
        <v>0.129</v>
      </c>
      <c r="T102" s="2"/>
      <c r="V102" s="2"/>
      <c r="W102" s="297"/>
      <c r="X102" s="299">
        <v>7.0000000000000007E-2</v>
      </c>
      <c r="Y102" s="2"/>
      <c r="Z102" s="1" t="s">
        <v>22</v>
      </c>
    </row>
    <row r="103" spans="1:26">
      <c r="A103" s="1" t="s">
        <v>335</v>
      </c>
      <c r="B103" s="1" t="s">
        <v>18</v>
      </c>
      <c r="C103" s="1" t="s">
        <v>24</v>
      </c>
      <c r="D103" s="124" t="s">
        <v>337</v>
      </c>
      <c r="E103" s="1" t="s">
        <v>19</v>
      </c>
      <c r="F103" s="4">
        <f>2.1458*0.0328767123287671/2</f>
        <v>3.5273424657534219E-2</v>
      </c>
      <c r="G103" s="4">
        <f>2.145*0.0328767123287671/2</f>
        <v>3.5260273972602715E-2</v>
      </c>
      <c r="L103" s="125"/>
      <c r="M103" s="3">
        <v>0.1963</v>
      </c>
      <c r="N103" s="3">
        <v>0.12620000000000001</v>
      </c>
      <c r="O103" s="3">
        <v>9.1300000000000006E-2</v>
      </c>
      <c r="S103" s="3"/>
      <c r="T103" s="2"/>
      <c r="V103" s="2"/>
      <c r="W103" s="297"/>
      <c r="X103" s="299">
        <v>7.0000000000000007E-2</v>
      </c>
      <c r="Y103" s="2"/>
      <c r="Z103" s="1" t="s">
        <v>22</v>
      </c>
    </row>
    <row r="104" spans="1:26">
      <c r="A104" s="1" t="s">
        <v>335</v>
      </c>
      <c r="B104" s="1" t="s">
        <v>18</v>
      </c>
      <c r="C104" s="1" t="s">
        <v>102</v>
      </c>
      <c r="D104" s="124" t="s">
        <v>338</v>
      </c>
      <c r="E104" s="1" t="s">
        <v>112</v>
      </c>
      <c r="F104" s="4"/>
      <c r="G104" s="4"/>
      <c r="L104" s="125">
        <f>6*0.0328767123287671</f>
        <v>0.1972602739726026</v>
      </c>
      <c r="M104" s="3"/>
      <c r="N104" s="3"/>
      <c r="O104" s="3"/>
      <c r="S104" s="3">
        <v>7.2999999999999995E-2</v>
      </c>
      <c r="T104" s="2"/>
      <c r="V104" s="2"/>
      <c r="W104" s="297"/>
      <c r="X104" s="299"/>
      <c r="Y104" s="2"/>
      <c r="Z104" s="1" t="s">
        <v>22</v>
      </c>
    </row>
    <row r="105" spans="1:26">
      <c r="A105" s="1" t="s">
        <v>335</v>
      </c>
      <c r="B105" s="1" t="s">
        <v>18</v>
      </c>
      <c r="C105" s="1" t="s">
        <v>102</v>
      </c>
      <c r="D105" s="124" t="s">
        <v>338</v>
      </c>
      <c r="E105" s="1" t="s">
        <v>115</v>
      </c>
      <c r="F105" s="4"/>
      <c r="G105" s="4"/>
      <c r="L105" s="125">
        <f>9.35*0.0328767123287671</f>
        <v>0.30739726027397235</v>
      </c>
      <c r="M105" s="3"/>
      <c r="N105" s="3"/>
      <c r="O105" s="3"/>
      <c r="S105" s="3">
        <v>7.1999999999999995E-2</v>
      </c>
      <c r="T105" s="2"/>
      <c r="V105" s="2"/>
      <c r="W105" s="297"/>
      <c r="X105" s="299"/>
      <c r="Y105" s="2"/>
      <c r="Z105" s="1" t="s">
        <v>22</v>
      </c>
    </row>
    <row r="106" spans="1:26">
      <c r="A106" s="1" t="s">
        <v>335</v>
      </c>
      <c r="B106" s="1" t="s">
        <v>18</v>
      </c>
      <c r="C106" s="1" t="s">
        <v>102</v>
      </c>
      <c r="D106" s="124" t="s">
        <v>338</v>
      </c>
      <c r="E106" s="1" t="s">
        <v>117</v>
      </c>
      <c r="F106" s="4"/>
      <c r="G106" s="4"/>
      <c r="L106" s="125">
        <f>21*0.0328767123287671</f>
        <v>0.69041095890410908</v>
      </c>
      <c r="M106" s="3"/>
      <c r="N106" s="3"/>
      <c r="O106" s="3"/>
      <c r="S106" s="3">
        <v>7.0999999999999994E-2</v>
      </c>
      <c r="T106" s="2"/>
      <c r="V106" s="2"/>
      <c r="W106" s="297"/>
      <c r="X106" s="299"/>
      <c r="Y106" s="2"/>
      <c r="Z106" s="1" t="s">
        <v>22</v>
      </c>
    </row>
    <row r="107" spans="1:26">
      <c r="A107" s="1" t="s">
        <v>335</v>
      </c>
      <c r="B107" s="1" t="s">
        <v>18</v>
      </c>
      <c r="C107" s="1" t="s">
        <v>102</v>
      </c>
      <c r="D107" s="124" t="s">
        <v>338</v>
      </c>
      <c r="E107" s="1" t="s">
        <v>119</v>
      </c>
      <c r="F107" s="4"/>
      <c r="G107" s="4"/>
      <c r="L107" s="125">
        <f>43*0.0328767123287671</f>
        <v>1.4136986301369854</v>
      </c>
      <c r="M107" s="3"/>
      <c r="N107" s="3"/>
      <c r="O107" s="3"/>
      <c r="S107" s="3">
        <v>7.0999999999999994E-2</v>
      </c>
      <c r="T107" s="2"/>
      <c r="V107" s="2"/>
      <c r="W107" s="297"/>
      <c r="X107" s="299"/>
      <c r="Y107" s="2"/>
      <c r="Z107" s="1" t="s">
        <v>22</v>
      </c>
    </row>
    <row r="108" spans="1:26">
      <c r="A108" s="1" t="s">
        <v>335</v>
      </c>
      <c r="B108" s="1" t="s">
        <v>18</v>
      </c>
      <c r="C108" s="1" t="s">
        <v>102</v>
      </c>
      <c r="D108" s="124" t="s">
        <v>338</v>
      </c>
      <c r="E108" s="1" t="s">
        <v>121</v>
      </c>
      <c r="F108" s="4"/>
      <c r="G108" s="4"/>
      <c r="L108" s="125">
        <f>115*0.0328767123287671</f>
        <v>3.7808219178082165</v>
      </c>
      <c r="M108" s="3"/>
      <c r="N108" s="3"/>
      <c r="O108" s="3"/>
      <c r="S108" s="3">
        <v>7.0999999999999994E-2</v>
      </c>
      <c r="T108" s="2"/>
      <c r="V108" s="2"/>
      <c r="W108" s="297"/>
      <c r="X108" s="299"/>
      <c r="Y108" s="2"/>
      <c r="Z108" s="1" t="s">
        <v>22</v>
      </c>
    </row>
    <row r="109" spans="1:26">
      <c r="A109" s="1" t="s">
        <v>335</v>
      </c>
      <c r="B109" s="1" t="s">
        <v>18</v>
      </c>
      <c r="C109" s="1" t="s">
        <v>102</v>
      </c>
      <c r="D109" s="124" t="s">
        <v>339</v>
      </c>
      <c r="E109" s="1" t="s">
        <v>112</v>
      </c>
      <c r="F109" s="4"/>
      <c r="G109" s="4"/>
      <c r="L109" s="125">
        <f>5*0.0328767123287671</f>
        <v>0.1643835616438355</v>
      </c>
      <c r="M109" s="3"/>
      <c r="N109" s="3"/>
      <c r="O109" s="3"/>
      <c r="S109" s="3">
        <v>6.8000000000000005E-2</v>
      </c>
      <c r="T109" s="2"/>
      <c r="U109" s="1" t="s">
        <v>340</v>
      </c>
      <c r="V109" s="2"/>
      <c r="W109" s="297"/>
      <c r="X109" s="299"/>
      <c r="Y109" s="2"/>
      <c r="Z109" s="1" t="s">
        <v>22</v>
      </c>
    </row>
    <row r="110" spans="1:26">
      <c r="A110" s="1" t="s">
        <v>335</v>
      </c>
      <c r="B110" s="1" t="s">
        <v>18</v>
      </c>
      <c r="C110" s="1" t="s">
        <v>102</v>
      </c>
      <c r="D110" s="124" t="s">
        <v>339</v>
      </c>
      <c r="E110" s="1" t="s">
        <v>115</v>
      </c>
      <c r="F110" s="4"/>
      <c r="G110" s="4"/>
      <c r="L110" s="125">
        <f>8.35*0.0328767123287671</f>
        <v>0.27452054794520525</v>
      </c>
      <c r="M110" s="3"/>
      <c r="N110" s="3"/>
      <c r="O110" s="3"/>
      <c r="S110" s="3">
        <v>6.7000000000000004E-2</v>
      </c>
      <c r="T110" s="2"/>
      <c r="U110" s="1" t="s">
        <v>340</v>
      </c>
      <c r="V110" s="2"/>
      <c r="W110" s="297"/>
      <c r="X110" s="299"/>
      <c r="Y110" s="2"/>
      <c r="Z110" s="1" t="s">
        <v>22</v>
      </c>
    </row>
    <row r="111" spans="1:26">
      <c r="A111" s="1" t="s">
        <v>335</v>
      </c>
      <c r="B111" s="1" t="s">
        <v>18</v>
      </c>
      <c r="C111" s="1" t="s">
        <v>102</v>
      </c>
      <c r="D111" s="124" t="s">
        <v>339</v>
      </c>
      <c r="E111" s="1" t="s">
        <v>117</v>
      </c>
      <c r="F111" s="4"/>
      <c r="G111" s="4"/>
      <c r="L111" s="125">
        <f>20*0.0328767123287671</f>
        <v>0.65753424657534199</v>
      </c>
      <c r="M111" s="3"/>
      <c r="N111" s="3"/>
      <c r="O111" s="3"/>
      <c r="S111" s="3">
        <v>6.6000000000000003E-2</v>
      </c>
      <c r="T111" s="2"/>
      <c r="U111" s="1" t="s">
        <v>340</v>
      </c>
      <c r="V111" s="2"/>
      <c r="W111" s="297"/>
      <c r="X111" s="299"/>
      <c r="Y111" s="2"/>
      <c r="Z111" s="1" t="s">
        <v>22</v>
      </c>
    </row>
    <row r="112" spans="1:26">
      <c r="A112" s="1" t="s">
        <v>335</v>
      </c>
      <c r="B112" s="1" t="s">
        <v>18</v>
      </c>
      <c r="C112" s="1" t="s">
        <v>102</v>
      </c>
      <c r="D112" s="124" t="s">
        <v>339</v>
      </c>
      <c r="E112" s="1" t="s">
        <v>119</v>
      </c>
      <c r="F112" s="4"/>
      <c r="G112" s="4"/>
      <c r="L112" s="125">
        <f>43*0.0328767123287671</f>
        <v>1.4136986301369854</v>
      </c>
      <c r="M112" s="3"/>
      <c r="N112" s="3"/>
      <c r="O112" s="3"/>
      <c r="S112" s="3">
        <v>7.0999999999999994E-2</v>
      </c>
      <c r="T112" s="2"/>
      <c r="U112" s="1" t="s">
        <v>340</v>
      </c>
      <c r="V112" s="2"/>
      <c r="W112" s="297"/>
      <c r="X112" s="299"/>
      <c r="Y112" s="2"/>
      <c r="Z112" s="1" t="s">
        <v>22</v>
      </c>
    </row>
    <row r="113" spans="1:26">
      <c r="A113" s="1" t="s">
        <v>335</v>
      </c>
      <c r="B113" s="1" t="s">
        <v>18</v>
      </c>
      <c r="C113" s="1" t="s">
        <v>102</v>
      </c>
      <c r="D113" s="124" t="s">
        <v>339</v>
      </c>
      <c r="E113" s="1" t="s">
        <v>121</v>
      </c>
      <c r="F113" s="4"/>
      <c r="G113" s="4"/>
      <c r="L113" s="125">
        <f>115*0.0328767123287671</f>
        <v>3.7808219178082165</v>
      </c>
      <c r="M113" s="3"/>
      <c r="N113" s="3"/>
      <c r="O113" s="3"/>
      <c r="S113" s="3">
        <v>7.0999999999999994E-2</v>
      </c>
      <c r="T113" s="2"/>
      <c r="U113" s="1" t="s">
        <v>340</v>
      </c>
      <c r="V113" s="2"/>
      <c r="W113" s="297"/>
      <c r="X113" s="299"/>
      <c r="Y113" s="2"/>
      <c r="Z113" s="1" t="s">
        <v>22</v>
      </c>
    </row>
    <row r="114" spans="1:26">
      <c r="A114" s="1" t="s">
        <v>341</v>
      </c>
      <c r="B114" s="1" t="s">
        <v>18</v>
      </c>
      <c r="C114" s="1" t="s">
        <v>24</v>
      </c>
      <c r="D114" s="124" t="s">
        <v>342</v>
      </c>
      <c r="E114" s="1" t="s">
        <v>19</v>
      </c>
      <c r="F114" s="4">
        <f>2.744*0.0328767123287671</f>
        <v>9.0213698630136924E-2</v>
      </c>
      <c r="G114" s="4">
        <f>+Tabla1[[#This Row],[POTENCIA 1]]</f>
        <v>9.0213698630136924E-2</v>
      </c>
      <c r="L114" s="125"/>
      <c r="M114" s="3">
        <v>0.13237499999999999</v>
      </c>
      <c r="N114" s="3">
        <v>0.13237499999999999</v>
      </c>
      <c r="O114" s="3">
        <v>0.13237499999999999</v>
      </c>
      <c r="T114" s="2">
        <v>0.1</v>
      </c>
      <c r="V114" s="2"/>
      <c r="W114" s="297" t="s">
        <v>325</v>
      </c>
      <c r="X114" s="299"/>
      <c r="Y114" s="2"/>
      <c r="Z114" s="1" t="s">
        <v>22</v>
      </c>
    </row>
    <row r="115" spans="1:26">
      <c r="A115" s="1" t="s">
        <v>341</v>
      </c>
      <c r="B115" s="1" t="s">
        <v>18</v>
      </c>
      <c r="C115" s="1" t="s">
        <v>24</v>
      </c>
      <c r="D115" s="124" t="s">
        <v>343</v>
      </c>
      <c r="E115" s="1" t="s">
        <v>19</v>
      </c>
      <c r="F115" s="4">
        <f>2.744*0.0328767123287671</f>
        <v>9.0213698630136924E-2</v>
      </c>
      <c r="G115" s="4">
        <f>+Tabla1[[#This Row],[POTENCIA 1]]</f>
        <v>9.0213698630136924E-2</v>
      </c>
      <c r="L115" s="125"/>
      <c r="M115" s="3">
        <v>0.170928</v>
      </c>
      <c r="N115" s="3">
        <v>0.170928</v>
      </c>
      <c r="O115" s="3">
        <v>0.170928</v>
      </c>
      <c r="T115" s="2">
        <v>0.1</v>
      </c>
      <c r="V115" s="2"/>
      <c r="W115" s="2"/>
      <c r="X115" s="299"/>
      <c r="Y115" s="2"/>
      <c r="Z115" s="1" t="s">
        <v>22</v>
      </c>
    </row>
    <row r="116" spans="1:26">
      <c r="A116" s="1" t="s">
        <v>341</v>
      </c>
      <c r="B116" s="1" t="s">
        <v>18</v>
      </c>
      <c r="C116" s="1" t="s">
        <v>102</v>
      </c>
      <c r="D116" s="124" t="s">
        <v>344</v>
      </c>
      <c r="E116" s="1" t="s">
        <v>112</v>
      </c>
      <c r="F116" s="4"/>
      <c r="G116" s="4"/>
      <c r="L116" s="125">
        <f>7.181*0.0328767123287671</f>
        <v>0.23608767123287655</v>
      </c>
      <c r="M116" s="3"/>
      <c r="N116" s="3"/>
      <c r="O116" s="3"/>
      <c r="S116" s="3">
        <v>8.4699999999999998E-2</v>
      </c>
      <c r="T116" s="2">
        <v>0.1</v>
      </c>
      <c r="V116" s="2"/>
      <c r="W116" s="2"/>
      <c r="X116" s="299"/>
      <c r="Y116" s="2"/>
      <c r="Z116" s="1" t="s">
        <v>22</v>
      </c>
    </row>
    <row r="117" spans="1:26">
      <c r="A117" s="1" t="s">
        <v>341</v>
      </c>
      <c r="B117" s="1" t="s">
        <v>18</v>
      </c>
      <c r="C117" s="1" t="s">
        <v>102</v>
      </c>
      <c r="D117" s="124" t="s">
        <v>344</v>
      </c>
      <c r="E117" s="1" t="s">
        <v>115</v>
      </c>
      <c r="F117" s="4"/>
      <c r="G117" s="4"/>
      <c r="L117" s="125">
        <f>14.6*0.0328767123287671</f>
        <v>0.47999999999999965</v>
      </c>
      <c r="M117" s="3"/>
      <c r="N117" s="3"/>
      <c r="O117" s="3"/>
      <c r="S117" s="3">
        <v>8.0199999999999994E-2</v>
      </c>
      <c r="T117" s="2">
        <v>0.1</v>
      </c>
      <c r="V117" s="2"/>
      <c r="W117" s="2"/>
      <c r="X117" s="299"/>
      <c r="Y117" s="2"/>
      <c r="Z117" s="1" t="s">
        <v>22</v>
      </c>
    </row>
    <row r="118" spans="1:26">
      <c r="A118" s="1" t="s">
        <v>341</v>
      </c>
      <c r="B118" s="1" t="s">
        <v>18</v>
      </c>
      <c r="C118" s="1" t="s">
        <v>102</v>
      </c>
      <c r="D118" s="124" t="s">
        <v>344</v>
      </c>
      <c r="E118" s="1" t="s">
        <v>117</v>
      </c>
      <c r="F118" s="4"/>
      <c r="G118" s="4"/>
      <c r="L118" s="125">
        <f>30.672*0.0328767123287671</f>
        <v>1.0083945205479445</v>
      </c>
      <c r="M118" s="3"/>
      <c r="N118" s="3"/>
      <c r="O118" s="3"/>
      <c r="S118" s="3">
        <v>7.3999999999999996E-2</v>
      </c>
      <c r="T118" s="2">
        <v>0.1</v>
      </c>
      <c r="V118" s="2"/>
      <c r="W118" s="2"/>
      <c r="X118" s="299"/>
      <c r="Y118" s="2"/>
      <c r="Z118" s="1" t="s">
        <v>22</v>
      </c>
    </row>
    <row r="119" spans="1:26">
      <c r="A119" s="1" t="s">
        <v>361</v>
      </c>
      <c r="B119" s="1" t="s">
        <v>159</v>
      </c>
      <c r="C119" s="1" t="s">
        <v>24</v>
      </c>
      <c r="D119" s="124" t="s">
        <v>362</v>
      </c>
      <c r="E119" s="1" t="s">
        <v>19</v>
      </c>
      <c r="F119" s="4">
        <f>+AXPO!B20/365</f>
        <v>0.10877921369863014</v>
      </c>
      <c r="G119" s="4">
        <f>+AXPO!C20/365</f>
        <v>5.9521706849315063E-2</v>
      </c>
      <c r="L119" s="125"/>
      <c r="M119" s="3">
        <f>+AXPO!B11</f>
        <v>0.14399700000000001</v>
      </c>
      <c r="N119" s="3">
        <f>+AXPO!C11</f>
        <v>0.14399700000000001</v>
      </c>
      <c r="O119" s="3"/>
      <c r="V119" s="2"/>
      <c r="W119" s="297" t="s">
        <v>325</v>
      </c>
      <c r="X119" s="299"/>
      <c r="Y119" s="2"/>
    </row>
    <row r="120" spans="1:26">
      <c r="A120" s="1" t="s">
        <v>361</v>
      </c>
      <c r="B120" s="1" t="s">
        <v>159</v>
      </c>
      <c r="C120" s="1" t="s">
        <v>24</v>
      </c>
      <c r="D120" s="124" t="s">
        <v>362</v>
      </c>
      <c r="E120" s="1" t="s">
        <v>163</v>
      </c>
      <c r="F120" s="4">
        <f>+AXPO!B21/365</f>
        <v>6.815596438356164E-2</v>
      </c>
      <c r="G120" s="4">
        <f>+AXPO!C21/365</f>
        <v>4.1418139726027398E-2</v>
      </c>
      <c r="H120" s="4">
        <f>+AXPO!D21/365</f>
        <v>2.4606942465753425E-2</v>
      </c>
      <c r="I120" s="4">
        <f>+AXPO!E21/365</f>
        <v>3.3935158904109593E-2</v>
      </c>
      <c r="J120" s="4">
        <f>+AXPO!F21/365</f>
        <v>3.8394112328767126E-2</v>
      </c>
      <c r="K120" s="4">
        <f>+AXPO!G21/365</f>
        <v>3.9567909589041099E-2</v>
      </c>
      <c r="L120" s="125"/>
      <c r="M120" s="3">
        <f>+AXPO!B12</f>
        <v>0.123864</v>
      </c>
      <c r="N120" s="3">
        <f>+AXPO!C12</f>
        <v>0.123864</v>
      </c>
      <c r="O120" s="3">
        <f>+AXPO!D12</f>
        <v>0.123864</v>
      </c>
      <c r="P120" s="3">
        <f>+AXPO!E12</f>
        <v>0.123864</v>
      </c>
      <c r="Q120" s="3">
        <f>+AXPO!F12</f>
        <v>0.123864</v>
      </c>
      <c r="R120" s="3">
        <f>+AXPO!G12</f>
        <v>0.123864</v>
      </c>
      <c r="V120" s="2"/>
      <c r="W120" s="297" t="s">
        <v>325</v>
      </c>
      <c r="X120" s="299"/>
      <c r="Y120" s="2"/>
    </row>
    <row r="121" spans="1:26">
      <c r="A121" s="1" t="s">
        <v>361</v>
      </c>
      <c r="B121" s="1" t="s">
        <v>159</v>
      </c>
      <c r="C121" s="1" t="s">
        <v>24</v>
      </c>
      <c r="D121" s="124" t="s">
        <v>363</v>
      </c>
      <c r="E121" s="1" t="s">
        <v>19</v>
      </c>
      <c r="F121" s="4">
        <f>+AXPO!J20/365</f>
        <v>0.10329976164383563</v>
      </c>
      <c r="G121" s="4">
        <f>+AXPO!K20/365</f>
        <v>5.4042254794520544E-2</v>
      </c>
      <c r="L121" s="125"/>
      <c r="M121" s="3">
        <f>+AXPO!J11</f>
        <v>0.13892099999999999</v>
      </c>
      <c r="N121" s="3">
        <f>+AXPO!K11</f>
        <v>0.13892099999999999</v>
      </c>
      <c r="O121" s="3"/>
      <c r="V121" s="2"/>
      <c r="W121" s="297" t="s">
        <v>325</v>
      </c>
      <c r="X121" s="299"/>
      <c r="Y121" s="2"/>
    </row>
    <row r="122" spans="1:26">
      <c r="A122" s="1" t="s">
        <v>361</v>
      </c>
      <c r="B122" s="1" t="s">
        <v>159</v>
      </c>
      <c r="C122" s="1" t="s">
        <v>24</v>
      </c>
      <c r="D122" s="124" t="s">
        <v>363</v>
      </c>
      <c r="E122" s="1" t="s">
        <v>163</v>
      </c>
      <c r="F122" s="4">
        <f>+AXPO!J21/365</f>
        <v>6.4046375342465753E-2</v>
      </c>
      <c r="G122" s="4">
        <f>+AXPO!K21/365</f>
        <v>3.7308550684931503E-2</v>
      </c>
      <c r="H122" s="4">
        <f>+AXPO!L21/365</f>
        <v>2.0771326027397261E-2</v>
      </c>
      <c r="I122" s="4">
        <f>+AXPO!M21/365</f>
        <v>3.119543287671233E-2</v>
      </c>
      <c r="J122" s="4">
        <f>+AXPO!N21/365</f>
        <v>3.5654386301369863E-2</v>
      </c>
      <c r="K122" s="4">
        <f>+AXPO!O21/365</f>
        <v>3.6828183561643836E-2</v>
      </c>
      <c r="L122" s="125"/>
      <c r="M122" s="3">
        <f>+AXPO!J12</f>
        <v>0.118788</v>
      </c>
      <c r="N122" s="3">
        <f>+AXPO!K12</f>
        <v>0.118788</v>
      </c>
      <c r="O122" s="3">
        <f>+AXPO!L12</f>
        <v>0.118788</v>
      </c>
      <c r="P122" s="3">
        <f>+AXPO!M12</f>
        <v>0.118788</v>
      </c>
      <c r="Q122" s="3">
        <f>+AXPO!N12</f>
        <v>0.118788</v>
      </c>
      <c r="R122" s="3">
        <f>+AXPO!O12</f>
        <v>0.118788</v>
      </c>
      <c r="V122" s="2"/>
      <c r="W122" s="297" t="s">
        <v>325</v>
      </c>
      <c r="X122" s="299"/>
      <c r="Y122" s="2"/>
    </row>
    <row r="123" spans="1:26">
      <c r="A123" s="1" t="s">
        <v>361</v>
      </c>
      <c r="B123" s="1" t="s">
        <v>159</v>
      </c>
      <c r="C123" s="1" t="s">
        <v>24</v>
      </c>
      <c r="D123" s="124" t="s">
        <v>364</v>
      </c>
      <c r="E123" s="1" t="s">
        <v>19</v>
      </c>
      <c r="F123" s="4">
        <f>+AXPO!R20/365</f>
        <v>9.3710720547945214E-2</v>
      </c>
      <c r="G123" s="4">
        <f>+AXPO!S20/365</f>
        <v>5.4042254794520544E-2</v>
      </c>
      <c r="L123" s="125"/>
      <c r="M123" s="3">
        <f>+AXPO!R11</f>
        <v>0.13384499999999999</v>
      </c>
      <c r="N123" s="3">
        <f>+AXPO!S11</f>
        <v>0.13384499999999999</v>
      </c>
      <c r="O123" s="3"/>
      <c r="V123" s="2"/>
      <c r="W123" s="297" t="s">
        <v>325</v>
      </c>
      <c r="X123" s="299"/>
      <c r="Y123" s="2"/>
    </row>
    <row r="124" spans="1:26">
      <c r="A124" s="1" t="s">
        <v>361</v>
      </c>
      <c r="B124" s="1" t="s">
        <v>159</v>
      </c>
      <c r="C124" s="1" t="s">
        <v>24</v>
      </c>
      <c r="D124" s="124" t="s">
        <v>364</v>
      </c>
      <c r="E124" s="1" t="s">
        <v>163</v>
      </c>
      <c r="F124" s="4">
        <f>+AXPO!R21/365</f>
        <v>6.4046375342465753E-2</v>
      </c>
      <c r="G124" s="4">
        <f>+AXPO!S21/365</f>
        <v>3.7308550684931503E-2</v>
      </c>
      <c r="H124" s="4">
        <f>+AXPO!T21/365</f>
        <v>2.0497353424657534E-2</v>
      </c>
      <c r="I124" s="4">
        <f>+AXPO!U21/365</f>
        <v>2.845570684931507E-2</v>
      </c>
      <c r="J124" s="4">
        <f>+AXPO!V21/365</f>
        <v>2.8805071232876716E-2</v>
      </c>
      <c r="K124" s="4">
        <f>+AXPO!W21/365</f>
        <v>2.7239142465753426E-2</v>
      </c>
      <c r="L124" s="125"/>
      <c r="M124" s="3">
        <f>+AXPO!R12</f>
        <v>0.11371199999999999</v>
      </c>
      <c r="N124" s="3">
        <f>+AXPO!S12</f>
        <v>0.11371199999999999</v>
      </c>
      <c r="O124" s="3">
        <f>+AXPO!T12</f>
        <v>0.11371199999999999</v>
      </c>
      <c r="P124" s="3">
        <f>+AXPO!U12</f>
        <v>0.11371199999999999</v>
      </c>
      <c r="Q124" s="3">
        <f>+AXPO!V12</f>
        <v>0.11371199999999999</v>
      </c>
      <c r="R124" s="3">
        <f>+AXPO!W12</f>
        <v>0.11371199999999999</v>
      </c>
      <c r="V124" s="2"/>
      <c r="W124" s="297" t="s">
        <v>325</v>
      </c>
      <c r="X124" s="299"/>
      <c r="Y124" s="2"/>
    </row>
    <row r="125" spans="1:26">
      <c r="A125" s="1" t="s">
        <v>361</v>
      </c>
      <c r="B125" s="1" t="s">
        <v>159</v>
      </c>
      <c r="C125" s="1" t="s">
        <v>24</v>
      </c>
      <c r="D125" s="124" t="s">
        <v>365</v>
      </c>
      <c r="E125" s="1" t="s">
        <v>19</v>
      </c>
      <c r="F125" s="4">
        <f>+AXPO!B57/365</f>
        <v>7.5902501369863012E-2</v>
      </c>
      <c r="G125" s="4">
        <f>+AXPO!C57/365</f>
        <v>1.9874602739726028E-3</v>
      </c>
      <c r="L125" s="125"/>
      <c r="M125" s="3">
        <f>+AXPO!B33</f>
        <v>0.225997</v>
      </c>
      <c r="N125" s="3">
        <f>+AXPO!C33</f>
        <v>0.155052</v>
      </c>
      <c r="O125" s="3"/>
      <c r="V125" s="2"/>
      <c r="W125" s="297" t="s">
        <v>325</v>
      </c>
      <c r="X125" s="299"/>
      <c r="Y125" s="2"/>
    </row>
    <row r="126" spans="1:26">
      <c r="A126" s="1" t="s">
        <v>361</v>
      </c>
      <c r="B126" s="1" t="s">
        <v>159</v>
      </c>
      <c r="C126" s="1" t="s">
        <v>24</v>
      </c>
      <c r="D126" s="124" t="s">
        <v>365</v>
      </c>
      <c r="E126" s="1" t="s">
        <v>163</v>
      </c>
      <c r="F126" s="4">
        <f>+AXPO!B58/365</f>
        <v>5.5827197260273971E-2</v>
      </c>
      <c r="G126" s="4">
        <f>+AXPO!C58/365</f>
        <v>2.9089372602739725E-2</v>
      </c>
      <c r="H126" s="4">
        <f>+AXPO!D58/365</f>
        <v>1.2278175342465752E-2</v>
      </c>
      <c r="I126" s="4">
        <f>+AXPO!E58/365</f>
        <v>1.0647487671232877E-2</v>
      </c>
      <c r="J126" s="4">
        <f>+AXPO!F58/365</f>
        <v>6.8872630136986293E-3</v>
      </c>
      <c r="K126" s="4">
        <f>+AXPO!G58/365</f>
        <v>3.9514712328767125E-3</v>
      </c>
      <c r="L126" s="125"/>
      <c r="M126" s="3">
        <f>+AXPO!B34</f>
        <v>0.20205300000000001</v>
      </c>
      <c r="N126" s="3">
        <f>+AXPO!C34</f>
        <v>0.17247000000000001</v>
      </c>
      <c r="O126" s="3">
        <f>+AXPO!D34</f>
        <v>0.14055200000000001</v>
      </c>
      <c r="P126" s="3">
        <f>+AXPO!E34</f>
        <v>0.11947099999999999</v>
      </c>
      <c r="Q126" s="3">
        <f>+AXPO!F34</f>
        <v>0.10617500000000001</v>
      </c>
      <c r="R126" s="3">
        <f>+AXPO!G34</f>
        <v>0.12461700000000001</v>
      </c>
      <c r="V126" s="2"/>
      <c r="W126" s="297" t="s">
        <v>325</v>
      </c>
      <c r="X126" s="299"/>
      <c r="Y126" s="2"/>
    </row>
    <row r="127" spans="1:26">
      <c r="A127" s="1" t="s">
        <v>361</v>
      </c>
      <c r="B127" s="1" t="s">
        <v>159</v>
      </c>
      <c r="C127" s="1" t="s">
        <v>24</v>
      </c>
      <c r="D127" s="124" t="s">
        <v>365</v>
      </c>
      <c r="E127" s="1" t="s">
        <v>164</v>
      </c>
      <c r="F127" s="4">
        <f>+AXPO!B59/365</f>
        <v>8.1083200000000008E-2</v>
      </c>
      <c r="G127" s="4">
        <f>+AXPO!C59/365</f>
        <v>4.2506052054794519E-2</v>
      </c>
      <c r="H127" s="4">
        <f>+AXPO!D59/365</f>
        <v>1.8635290410958905E-2</v>
      </c>
      <c r="I127" s="4">
        <f>+AXPO!E59/365</f>
        <v>1.4777613698630138E-2</v>
      </c>
      <c r="J127" s="4">
        <f>+AXPO!F59/365</f>
        <v>5.8222273972602734E-3</v>
      </c>
      <c r="K127" s="4">
        <f>+AXPO!G59/365</f>
        <v>2.7511808219178083E-3</v>
      </c>
      <c r="L127" s="125"/>
      <c r="M127" s="3">
        <f>+AXPO!B35</f>
        <v>0.17438699999999999</v>
      </c>
      <c r="N127" s="3">
        <f>+AXPO!C35</f>
        <v>0.15142</v>
      </c>
      <c r="O127" s="3">
        <f>+AXPO!D35</f>
        <v>0.127164</v>
      </c>
      <c r="P127" s="3">
        <f>+AXPO!E35</f>
        <v>0.111237</v>
      </c>
      <c r="Q127" s="3">
        <f>+AXPO!F35</f>
        <v>0.100046</v>
      </c>
      <c r="R127" s="3">
        <f>+AXPO!G35</f>
        <v>0.12101099999999999</v>
      </c>
      <c r="V127" s="2"/>
      <c r="W127" s="297" t="s">
        <v>325</v>
      </c>
      <c r="X127" s="299"/>
      <c r="Y127" s="2"/>
    </row>
    <row r="128" spans="1:26">
      <c r="A128" s="1" t="s">
        <v>361</v>
      </c>
      <c r="B128" s="1" t="s">
        <v>159</v>
      </c>
      <c r="C128" s="1" t="s">
        <v>24</v>
      </c>
      <c r="D128" s="124" t="s">
        <v>366</v>
      </c>
      <c r="E128" s="1" t="s">
        <v>19</v>
      </c>
      <c r="F128" s="4">
        <f>+AXPO!J57</f>
        <v>7.5902501369863012E-2</v>
      </c>
      <c r="G128" s="4">
        <f>+AXPO!K57</f>
        <v>1.9874602739726028E-3</v>
      </c>
      <c r="L128" s="125"/>
      <c r="M128" s="3">
        <f>+AXPO!J33</f>
        <v>0.21417900000000001</v>
      </c>
      <c r="N128" s="3">
        <f>+AXPO!K33</f>
        <v>0.143234</v>
      </c>
      <c r="O128" s="3"/>
      <c r="V128" s="2"/>
      <c r="W128" s="297" t="s">
        <v>325</v>
      </c>
      <c r="X128" s="299"/>
      <c r="Y128" s="2"/>
    </row>
    <row r="129" spans="1:25">
      <c r="A129" s="1" t="s">
        <v>361</v>
      </c>
      <c r="B129" s="1" t="s">
        <v>159</v>
      </c>
      <c r="C129" s="1" t="s">
        <v>24</v>
      </c>
      <c r="D129" s="124" t="s">
        <v>366</v>
      </c>
      <c r="E129" s="1" t="s">
        <v>163</v>
      </c>
      <c r="F129" s="4">
        <f>+AXPO!J58</f>
        <v>5.5827197260273971E-2</v>
      </c>
      <c r="G129" s="4">
        <f>+AXPO!K58</f>
        <v>2.9089372602739725E-2</v>
      </c>
      <c r="H129" s="4">
        <f>+AXPO!L58</f>
        <v>1.2278175342465752E-2</v>
      </c>
      <c r="I129" s="4">
        <f>+AXPO!M58</f>
        <v>1.0647487671232877E-2</v>
      </c>
      <c r="J129" s="4">
        <f>+AXPO!N58</f>
        <v>6.8872630136986293E-3</v>
      </c>
      <c r="K129" s="4">
        <f>+AXPO!O58</f>
        <v>3.9514712328767125E-3</v>
      </c>
      <c r="L129" s="125"/>
      <c r="M129" s="3">
        <f>+AXPO!J34</f>
        <v>0.19023599999999999</v>
      </c>
      <c r="N129" s="3">
        <f>+AXPO!K34</f>
        <v>0.16065299999999999</v>
      </c>
      <c r="O129" s="3">
        <f>+AXPO!L34</f>
        <v>0.12873499999999999</v>
      </c>
      <c r="P129" s="3">
        <f>+AXPO!M34</f>
        <v>0.107653</v>
      </c>
      <c r="Q129" s="3">
        <f>+AXPO!N34</f>
        <v>9.4357999999999997E-2</v>
      </c>
      <c r="R129" s="3">
        <f>+AXPO!O34</f>
        <v>0.1128</v>
      </c>
      <c r="V129" s="2"/>
      <c r="W129" s="297" t="s">
        <v>325</v>
      </c>
      <c r="X129" s="299"/>
      <c r="Y129" s="2"/>
    </row>
    <row r="130" spans="1:25">
      <c r="A130" s="1" t="s">
        <v>361</v>
      </c>
      <c r="B130" s="1" t="s">
        <v>159</v>
      </c>
      <c r="C130" s="1" t="s">
        <v>24</v>
      </c>
      <c r="D130" s="124" t="s">
        <v>366</v>
      </c>
      <c r="E130" s="1" t="s">
        <v>164</v>
      </c>
      <c r="F130" s="4">
        <f>+AXPO!J59</f>
        <v>8.1083200000000008E-2</v>
      </c>
      <c r="G130" s="4">
        <f>+AXPO!K59</f>
        <v>4.2506052054794519E-2</v>
      </c>
      <c r="H130" s="4">
        <f>+AXPO!L59</f>
        <v>1.8635290410958905E-2</v>
      </c>
      <c r="I130" s="4">
        <f>+AXPO!M59</f>
        <v>1.4777613698630138E-2</v>
      </c>
      <c r="J130" s="4">
        <f>+AXPO!N59</f>
        <v>5.8222273972602734E-3</v>
      </c>
      <c r="K130" s="4">
        <f>+AXPO!O59</f>
        <v>2.7511808219178083E-3</v>
      </c>
      <c r="L130" s="125"/>
      <c r="M130" s="3">
        <f>+AXPO!J35</f>
        <v>0.16256899999999999</v>
      </c>
      <c r="N130" s="3">
        <f>+AXPO!K35</f>
        <v>0.139603</v>
      </c>
      <c r="O130" s="3">
        <f>+AXPO!L35</f>
        <v>0.11534700000000001</v>
      </c>
      <c r="P130" s="3">
        <f>+AXPO!M35</f>
        <v>9.9419999999999994E-2</v>
      </c>
      <c r="Q130" s="3">
        <f>+AXPO!N35</f>
        <v>8.8228000000000001E-2</v>
      </c>
      <c r="R130" s="3">
        <f>+AXPO!O35</f>
        <v>0.109193</v>
      </c>
      <c r="V130" s="2"/>
      <c r="W130" s="297" t="s">
        <v>325</v>
      </c>
      <c r="X130" s="299"/>
      <c r="Y130" s="2"/>
    </row>
    <row r="131" spans="1:25">
      <c r="A131" s="1" t="s">
        <v>361</v>
      </c>
      <c r="B131" s="1" t="s">
        <v>159</v>
      </c>
      <c r="C131" s="1" t="s">
        <v>24</v>
      </c>
      <c r="D131" s="124" t="s">
        <v>367</v>
      </c>
      <c r="E131" s="1" t="s">
        <v>19</v>
      </c>
      <c r="F131" s="4">
        <f>+AXPO!R57*0.0328767123287671</f>
        <v>7.5902501369862999E-2</v>
      </c>
      <c r="G131" s="4">
        <f>+AXPO!S57*0.0328767123287671</f>
        <v>1.9874602739726028E-3</v>
      </c>
      <c r="L131" s="125"/>
      <c r="M131" s="3">
        <f>+AXPO!R33</f>
        <v>0.20790500000000001</v>
      </c>
      <c r="N131" s="3">
        <f>+AXPO!S33</f>
        <v>0.13696</v>
      </c>
      <c r="O131" s="3"/>
      <c r="V131" s="2"/>
      <c r="W131" s="297" t="s">
        <v>325</v>
      </c>
      <c r="X131" s="299"/>
      <c r="Y131" s="2"/>
    </row>
    <row r="132" spans="1:25">
      <c r="A132" s="1" t="s">
        <v>361</v>
      </c>
      <c r="B132" s="1" t="s">
        <v>159</v>
      </c>
      <c r="C132" s="1" t="s">
        <v>24</v>
      </c>
      <c r="D132" s="124" t="s">
        <v>367</v>
      </c>
      <c r="E132" s="1" t="s">
        <v>163</v>
      </c>
      <c r="F132" s="4">
        <f>+AXPO!R58*0.0328767123287671</f>
        <v>5.5827197260273964E-2</v>
      </c>
      <c r="G132" s="4">
        <f>+AXPO!S58*0.0328767123287671</f>
        <v>2.9089372602739721E-2</v>
      </c>
      <c r="H132" s="4">
        <f>+AXPO!T58*0.0328767123287671</f>
        <v>1.2278175342465752E-2</v>
      </c>
      <c r="I132" s="4">
        <f>+AXPO!U58*0.0328767123287671</f>
        <v>1.0647487671232877E-2</v>
      </c>
      <c r="J132" s="4">
        <f>+AXPO!V58*0.0328767123287671</f>
        <v>6.8872630136986284E-3</v>
      </c>
      <c r="K132" s="4">
        <f>+AXPO!W58*0.0328767123287671</f>
        <v>3.9514712328767116E-3</v>
      </c>
      <c r="L132" s="125"/>
      <c r="M132" s="3">
        <f>+AXPO!R34</f>
        <v>0.18396199999999999</v>
      </c>
      <c r="N132" s="3">
        <f>+AXPO!S34</f>
        <v>0.15437799999999999</v>
      </c>
      <c r="O132" s="3">
        <f>+AXPO!T34</f>
        <v>0.122461</v>
      </c>
      <c r="P132" s="3">
        <f>+AXPO!U34</f>
        <v>0.101379</v>
      </c>
      <c r="Q132" s="3">
        <f>+AXPO!V34</f>
        <v>8.8083999999999996E-2</v>
      </c>
      <c r="R132" s="3">
        <f>+AXPO!W34</f>
        <v>0.106526</v>
      </c>
      <c r="V132" s="2"/>
      <c r="W132" s="297" t="s">
        <v>325</v>
      </c>
      <c r="X132" s="299"/>
      <c r="Y132" s="2"/>
    </row>
    <row r="133" spans="1:25">
      <c r="A133" s="1" t="s">
        <v>361</v>
      </c>
      <c r="B133" s="1" t="s">
        <v>159</v>
      </c>
      <c r="C133" s="1" t="s">
        <v>24</v>
      </c>
      <c r="D133" s="124" t="s">
        <v>367</v>
      </c>
      <c r="E133" s="1" t="s">
        <v>164</v>
      </c>
      <c r="F133" s="4">
        <f>+AXPO!R59*0.0328767123287671</f>
        <v>8.1083199999999994E-2</v>
      </c>
      <c r="G133" s="4">
        <f>+AXPO!S59*0.0328767123287671</f>
        <v>4.2506052054794519E-2</v>
      </c>
      <c r="H133" s="4">
        <f>+AXPO!T59*0.0328767123287671</f>
        <v>1.8635290410958905E-2</v>
      </c>
      <c r="I133" s="4">
        <f>+AXPO!U59*0.0328767123287671</f>
        <v>1.4777613698630137E-2</v>
      </c>
      <c r="J133" s="4">
        <f>+AXPO!V59*0.0328767123287671</f>
        <v>5.8222273972602734E-3</v>
      </c>
      <c r="K133" s="4">
        <f>+AXPO!W59*0.0328767123287671</f>
        <v>2.7511808219178079E-3</v>
      </c>
      <c r="L133" s="125"/>
      <c r="M133" s="3">
        <f>+AXPO!R35</f>
        <v>0.15629499999999999</v>
      </c>
      <c r="N133" s="3">
        <f>+AXPO!S35</f>
        <v>0.133329</v>
      </c>
      <c r="O133" s="3">
        <f>+AXPO!T35</f>
        <v>0.109073</v>
      </c>
      <c r="P133" s="3">
        <f>+AXPO!U35</f>
        <v>9.3146000000000007E-2</v>
      </c>
      <c r="Q133" s="3">
        <f>+AXPO!V35</f>
        <v>8.1953999999999999E-2</v>
      </c>
      <c r="R133" s="3">
        <f>+AXPO!W35</f>
        <v>0.102919</v>
      </c>
      <c r="V133" s="2"/>
      <c r="W133" s="297" t="s">
        <v>325</v>
      </c>
      <c r="X133" s="299"/>
      <c r="Y133" s="2"/>
    </row>
    <row r="134" spans="1:25">
      <c r="A134" s="1" t="s">
        <v>361</v>
      </c>
      <c r="B134" s="1" t="s">
        <v>159</v>
      </c>
      <c r="C134" s="1" t="s">
        <v>24</v>
      </c>
      <c r="D134" s="124"/>
      <c r="F134" s="4"/>
      <c r="G134" s="4"/>
      <c r="L134" s="125"/>
      <c r="M134" s="3"/>
      <c r="N134" s="3"/>
      <c r="O134" s="3"/>
      <c r="V134" s="2"/>
      <c r="W134" s="2"/>
      <c r="X134" s="299"/>
      <c r="Y134" s="2"/>
    </row>
    <row r="135" spans="1:25">
      <c r="A135" s="1" t="s">
        <v>361</v>
      </c>
      <c r="B135" s="1" t="s">
        <v>159</v>
      </c>
      <c r="C135" s="1" t="s">
        <v>24</v>
      </c>
      <c r="D135" s="124"/>
      <c r="F135" s="4"/>
      <c r="G135" s="4"/>
      <c r="L135" s="125"/>
      <c r="M135" s="3"/>
      <c r="N135" s="3"/>
      <c r="O135" s="3"/>
      <c r="V135" s="2"/>
      <c r="W135" s="2"/>
      <c r="X135" s="299"/>
      <c r="Y135" s="2"/>
    </row>
    <row r="136" spans="1:25">
      <c r="A136" s="1" t="s">
        <v>361</v>
      </c>
      <c r="B136" s="1" t="s">
        <v>159</v>
      </c>
      <c r="C136" s="1" t="s">
        <v>24</v>
      </c>
      <c r="D136" s="124"/>
      <c r="F136" s="4"/>
      <c r="G136" s="4"/>
      <c r="L136" s="125"/>
      <c r="M136" s="3"/>
      <c r="N136" s="3"/>
      <c r="O136" s="3"/>
      <c r="V136" s="2"/>
      <c r="W136" s="2"/>
      <c r="X136" s="299"/>
      <c r="Y136" s="2"/>
    </row>
    <row r="137" spans="1:25">
      <c r="A137" s="1" t="s">
        <v>361</v>
      </c>
      <c r="B137" s="1" t="s">
        <v>159</v>
      </c>
      <c r="C137" s="1" t="s">
        <v>24</v>
      </c>
      <c r="D137" s="124"/>
      <c r="F137" s="4"/>
      <c r="G137" s="4"/>
      <c r="L137" s="125"/>
      <c r="M137" s="3"/>
      <c r="N137" s="3"/>
      <c r="O137" s="3"/>
      <c r="V137" s="2"/>
      <c r="W137" s="2"/>
      <c r="X137" s="299"/>
      <c r="Y137" s="2"/>
    </row>
  </sheetData>
  <phoneticPr fontId="2" type="noConversion"/>
  <pageMargins left="0.7" right="0.7" top="0.75" bottom="0.75" header="0.3" footer="0.3"/>
  <pageSetup paperSize="9" orientation="portrait" r:id="rId1"/>
  <ignoredErrors>
    <ignoredError sqref="L17:L27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0288-A112-4EFF-9EF5-691C8A6EA94A}">
  <dimension ref="A1:BD102"/>
  <sheetViews>
    <sheetView topLeftCell="A46" workbookViewId="0">
      <selection activeCell="H66" sqref="H66"/>
    </sheetView>
  </sheetViews>
  <sheetFormatPr baseColWidth="10" defaultColWidth="11.42578125" defaultRowHeight="12.75" outlineLevelRow="1"/>
  <cols>
    <col min="1" max="1" width="17.140625" style="5" bestFit="1" customWidth="1"/>
    <col min="2" max="2" width="6.42578125" style="10" bestFit="1" customWidth="1"/>
    <col min="3" max="3" width="29.140625" style="8" bestFit="1" customWidth="1"/>
    <col min="4" max="4" width="36.42578125" style="8" bestFit="1" customWidth="1"/>
    <col min="5" max="5" width="14.5703125" style="8" bestFit="1" customWidth="1"/>
    <col min="6" max="6" width="21.5703125" style="8" bestFit="1" customWidth="1"/>
    <col min="7" max="7" width="11.140625" style="8" bestFit="1" customWidth="1"/>
    <col min="8" max="8" width="34.28515625" style="8" bestFit="1" customWidth="1"/>
    <col min="9" max="9" width="25.7109375" style="8" bestFit="1" customWidth="1"/>
    <col min="10" max="10" width="27" style="8" bestFit="1" customWidth="1"/>
    <col min="11" max="11" width="32.28515625" style="8" bestFit="1" customWidth="1"/>
    <col min="12" max="12" width="27" style="8" bestFit="1" customWidth="1"/>
    <col min="13" max="14" width="8.5703125" style="8" bestFit="1" customWidth="1"/>
    <col min="15" max="15" width="11.5703125" style="8" bestFit="1" customWidth="1"/>
    <col min="16" max="16" width="8.5703125" style="8" bestFit="1" customWidth="1"/>
    <col min="17" max="17" width="8.5703125" style="7" bestFit="1" customWidth="1"/>
    <col min="18" max="18" width="11.85546875" style="8" bestFit="1" customWidth="1"/>
    <col min="19" max="24" width="8.5703125" style="8" bestFit="1" customWidth="1"/>
    <col min="25" max="25" width="11.85546875" style="8" bestFit="1" customWidth="1"/>
    <col min="26" max="31" width="8.5703125" style="8" bestFit="1" customWidth="1"/>
    <col min="32" max="32" width="25.5703125" style="8" bestFit="1" customWidth="1"/>
    <col min="33" max="33" width="28.140625" style="8" bestFit="1" customWidth="1"/>
    <col min="34" max="34" width="17.140625" style="8" bestFit="1" customWidth="1"/>
    <col min="35" max="41" width="17.28515625" style="8" bestFit="1" customWidth="1"/>
    <col min="42" max="46" width="22.85546875" style="8" bestFit="1" customWidth="1"/>
    <col min="47" max="49" width="17.28515625" style="8" bestFit="1" customWidth="1"/>
    <col min="50" max="53" width="28.5703125" style="8" bestFit="1" customWidth="1"/>
    <col min="54" max="56" width="17.28515625" style="8" bestFit="1" customWidth="1"/>
    <col min="57" max="252" width="11.42578125" style="8"/>
    <col min="253" max="253" width="13.7109375" style="8" customWidth="1"/>
    <col min="254" max="254" width="8.28515625" style="8" customWidth="1"/>
    <col min="255" max="255" width="23.140625" style="8" customWidth="1"/>
    <col min="256" max="259" width="11.42578125" style="8"/>
    <col min="260" max="265" width="12" style="8" customWidth="1"/>
    <col min="266" max="269" width="11.42578125" style="8"/>
    <col min="270" max="270" width="20.7109375" style="8" customWidth="1"/>
    <col min="271" max="508" width="11.42578125" style="8"/>
    <col min="509" max="509" width="13.7109375" style="8" customWidth="1"/>
    <col min="510" max="510" width="8.28515625" style="8" customWidth="1"/>
    <col min="511" max="511" width="23.140625" style="8" customWidth="1"/>
    <col min="512" max="515" width="11.42578125" style="8"/>
    <col min="516" max="521" width="12" style="8" customWidth="1"/>
    <col min="522" max="525" width="11.42578125" style="8"/>
    <col min="526" max="526" width="20.7109375" style="8" customWidth="1"/>
    <col min="527" max="764" width="11.42578125" style="8"/>
    <col min="765" max="765" width="13.7109375" style="8" customWidth="1"/>
    <col min="766" max="766" width="8.28515625" style="8" customWidth="1"/>
    <col min="767" max="767" width="23.140625" style="8" customWidth="1"/>
    <col min="768" max="771" width="11.42578125" style="8"/>
    <col min="772" max="777" width="12" style="8" customWidth="1"/>
    <col min="778" max="781" width="11.42578125" style="8"/>
    <col min="782" max="782" width="20.7109375" style="8" customWidth="1"/>
    <col min="783" max="1020" width="11.42578125" style="8"/>
    <col min="1021" max="1021" width="13.7109375" style="8" customWidth="1"/>
    <col min="1022" max="1022" width="8.28515625" style="8" customWidth="1"/>
    <col min="1023" max="1023" width="23.140625" style="8" customWidth="1"/>
    <col min="1024" max="1027" width="11.42578125" style="8"/>
    <col min="1028" max="1033" width="12" style="8" customWidth="1"/>
    <col min="1034" max="1037" width="11.42578125" style="8"/>
    <col min="1038" max="1038" width="20.7109375" style="8" customWidth="1"/>
    <col min="1039" max="1276" width="11.42578125" style="8"/>
    <col min="1277" max="1277" width="13.7109375" style="8" customWidth="1"/>
    <col min="1278" max="1278" width="8.28515625" style="8" customWidth="1"/>
    <col min="1279" max="1279" width="23.140625" style="8" customWidth="1"/>
    <col min="1280" max="1283" width="11.42578125" style="8"/>
    <col min="1284" max="1289" width="12" style="8" customWidth="1"/>
    <col min="1290" max="1293" width="11.42578125" style="8"/>
    <col min="1294" max="1294" width="20.7109375" style="8" customWidth="1"/>
    <col min="1295" max="1532" width="11.42578125" style="8"/>
    <col min="1533" max="1533" width="13.7109375" style="8" customWidth="1"/>
    <col min="1534" max="1534" width="8.28515625" style="8" customWidth="1"/>
    <col min="1535" max="1535" width="23.140625" style="8" customWidth="1"/>
    <col min="1536" max="1539" width="11.42578125" style="8"/>
    <col min="1540" max="1545" width="12" style="8" customWidth="1"/>
    <col min="1546" max="1549" width="11.42578125" style="8"/>
    <col min="1550" max="1550" width="20.7109375" style="8" customWidth="1"/>
    <col min="1551" max="1788" width="11.42578125" style="8"/>
    <col min="1789" max="1789" width="13.7109375" style="8" customWidth="1"/>
    <col min="1790" max="1790" width="8.28515625" style="8" customWidth="1"/>
    <col min="1791" max="1791" width="23.140625" style="8" customWidth="1"/>
    <col min="1792" max="1795" width="11.42578125" style="8"/>
    <col min="1796" max="1801" width="12" style="8" customWidth="1"/>
    <col min="1802" max="1805" width="11.42578125" style="8"/>
    <col min="1806" max="1806" width="20.7109375" style="8" customWidth="1"/>
    <col min="1807" max="2044" width="11.42578125" style="8"/>
    <col min="2045" max="2045" width="13.7109375" style="8" customWidth="1"/>
    <col min="2046" max="2046" width="8.28515625" style="8" customWidth="1"/>
    <col min="2047" max="2047" width="23.140625" style="8" customWidth="1"/>
    <col min="2048" max="2051" width="11.42578125" style="8"/>
    <col min="2052" max="2057" width="12" style="8" customWidth="1"/>
    <col min="2058" max="2061" width="11.42578125" style="8"/>
    <col min="2062" max="2062" width="20.7109375" style="8" customWidth="1"/>
    <col min="2063" max="2300" width="11.42578125" style="8"/>
    <col min="2301" max="2301" width="13.7109375" style="8" customWidth="1"/>
    <col min="2302" max="2302" width="8.28515625" style="8" customWidth="1"/>
    <col min="2303" max="2303" width="23.140625" style="8" customWidth="1"/>
    <col min="2304" max="2307" width="11.42578125" style="8"/>
    <col min="2308" max="2313" width="12" style="8" customWidth="1"/>
    <col min="2314" max="2317" width="11.42578125" style="8"/>
    <col min="2318" max="2318" width="20.7109375" style="8" customWidth="1"/>
    <col min="2319" max="2556" width="11.42578125" style="8"/>
    <col min="2557" max="2557" width="13.7109375" style="8" customWidth="1"/>
    <col min="2558" max="2558" width="8.28515625" style="8" customWidth="1"/>
    <col min="2559" max="2559" width="23.140625" style="8" customWidth="1"/>
    <col min="2560" max="2563" width="11.42578125" style="8"/>
    <col min="2564" max="2569" width="12" style="8" customWidth="1"/>
    <col min="2570" max="2573" width="11.42578125" style="8"/>
    <col min="2574" max="2574" width="20.7109375" style="8" customWidth="1"/>
    <col min="2575" max="2812" width="11.42578125" style="8"/>
    <col min="2813" max="2813" width="13.7109375" style="8" customWidth="1"/>
    <col min="2814" max="2814" width="8.28515625" style="8" customWidth="1"/>
    <col min="2815" max="2815" width="23.140625" style="8" customWidth="1"/>
    <col min="2816" max="2819" width="11.42578125" style="8"/>
    <col min="2820" max="2825" width="12" style="8" customWidth="1"/>
    <col min="2826" max="2829" width="11.42578125" style="8"/>
    <col min="2830" max="2830" width="20.7109375" style="8" customWidth="1"/>
    <col min="2831" max="3068" width="11.42578125" style="8"/>
    <col min="3069" max="3069" width="13.7109375" style="8" customWidth="1"/>
    <col min="3070" max="3070" width="8.28515625" style="8" customWidth="1"/>
    <col min="3071" max="3071" width="23.140625" style="8" customWidth="1"/>
    <col min="3072" max="3075" width="11.42578125" style="8"/>
    <col min="3076" max="3081" width="12" style="8" customWidth="1"/>
    <col min="3082" max="3085" width="11.42578125" style="8"/>
    <col min="3086" max="3086" width="20.7109375" style="8" customWidth="1"/>
    <col min="3087" max="3324" width="11.42578125" style="8"/>
    <col min="3325" max="3325" width="13.7109375" style="8" customWidth="1"/>
    <col min="3326" max="3326" width="8.28515625" style="8" customWidth="1"/>
    <col min="3327" max="3327" width="23.140625" style="8" customWidth="1"/>
    <col min="3328" max="3331" width="11.42578125" style="8"/>
    <col min="3332" max="3337" width="12" style="8" customWidth="1"/>
    <col min="3338" max="3341" width="11.42578125" style="8"/>
    <col min="3342" max="3342" width="20.7109375" style="8" customWidth="1"/>
    <col min="3343" max="3580" width="11.42578125" style="8"/>
    <col min="3581" max="3581" width="13.7109375" style="8" customWidth="1"/>
    <col min="3582" max="3582" width="8.28515625" style="8" customWidth="1"/>
    <col min="3583" max="3583" width="23.140625" style="8" customWidth="1"/>
    <col min="3584" max="3587" width="11.42578125" style="8"/>
    <col min="3588" max="3593" width="12" style="8" customWidth="1"/>
    <col min="3594" max="3597" width="11.42578125" style="8"/>
    <col min="3598" max="3598" width="20.7109375" style="8" customWidth="1"/>
    <col min="3599" max="3836" width="11.42578125" style="8"/>
    <col min="3837" max="3837" width="13.7109375" style="8" customWidth="1"/>
    <col min="3838" max="3838" width="8.28515625" style="8" customWidth="1"/>
    <col min="3839" max="3839" width="23.140625" style="8" customWidth="1"/>
    <col min="3840" max="3843" width="11.42578125" style="8"/>
    <col min="3844" max="3849" width="12" style="8" customWidth="1"/>
    <col min="3850" max="3853" width="11.42578125" style="8"/>
    <col min="3854" max="3854" width="20.7109375" style="8" customWidth="1"/>
    <col min="3855" max="4092" width="11.42578125" style="8"/>
    <col min="4093" max="4093" width="13.7109375" style="8" customWidth="1"/>
    <col min="4094" max="4094" width="8.28515625" style="8" customWidth="1"/>
    <col min="4095" max="4095" width="23.140625" style="8" customWidth="1"/>
    <col min="4096" max="4099" width="11.42578125" style="8"/>
    <col min="4100" max="4105" width="12" style="8" customWidth="1"/>
    <col min="4106" max="4109" width="11.42578125" style="8"/>
    <col min="4110" max="4110" width="20.7109375" style="8" customWidth="1"/>
    <col min="4111" max="4348" width="11.42578125" style="8"/>
    <col min="4349" max="4349" width="13.7109375" style="8" customWidth="1"/>
    <col min="4350" max="4350" width="8.28515625" style="8" customWidth="1"/>
    <col min="4351" max="4351" width="23.140625" style="8" customWidth="1"/>
    <col min="4352" max="4355" width="11.42578125" style="8"/>
    <col min="4356" max="4361" width="12" style="8" customWidth="1"/>
    <col min="4362" max="4365" width="11.42578125" style="8"/>
    <col min="4366" max="4366" width="20.7109375" style="8" customWidth="1"/>
    <col min="4367" max="4604" width="11.42578125" style="8"/>
    <col min="4605" max="4605" width="13.7109375" style="8" customWidth="1"/>
    <col min="4606" max="4606" width="8.28515625" style="8" customWidth="1"/>
    <col min="4607" max="4607" width="23.140625" style="8" customWidth="1"/>
    <col min="4608" max="4611" width="11.42578125" style="8"/>
    <col min="4612" max="4617" width="12" style="8" customWidth="1"/>
    <col min="4618" max="4621" width="11.42578125" style="8"/>
    <col min="4622" max="4622" width="20.7109375" style="8" customWidth="1"/>
    <col min="4623" max="4860" width="11.42578125" style="8"/>
    <col min="4861" max="4861" width="13.7109375" style="8" customWidth="1"/>
    <col min="4862" max="4862" width="8.28515625" style="8" customWidth="1"/>
    <col min="4863" max="4863" width="23.140625" style="8" customWidth="1"/>
    <col min="4864" max="4867" width="11.42578125" style="8"/>
    <col min="4868" max="4873" width="12" style="8" customWidth="1"/>
    <col min="4874" max="4877" width="11.42578125" style="8"/>
    <col min="4878" max="4878" width="20.7109375" style="8" customWidth="1"/>
    <col min="4879" max="5116" width="11.42578125" style="8"/>
    <col min="5117" max="5117" width="13.7109375" style="8" customWidth="1"/>
    <col min="5118" max="5118" width="8.28515625" style="8" customWidth="1"/>
    <col min="5119" max="5119" width="23.140625" style="8" customWidth="1"/>
    <col min="5120" max="5123" width="11.42578125" style="8"/>
    <col min="5124" max="5129" width="12" style="8" customWidth="1"/>
    <col min="5130" max="5133" width="11.42578125" style="8"/>
    <col min="5134" max="5134" width="20.7109375" style="8" customWidth="1"/>
    <col min="5135" max="5372" width="11.42578125" style="8"/>
    <col min="5373" max="5373" width="13.7109375" style="8" customWidth="1"/>
    <col min="5374" max="5374" width="8.28515625" style="8" customWidth="1"/>
    <col min="5375" max="5375" width="23.140625" style="8" customWidth="1"/>
    <col min="5376" max="5379" width="11.42578125" style="8"/>
    <col min="5380" max="5385" width="12" style="8" customWidth="1"/>
    <col min="5386" max="5389" width="11.42578125" style="8"/>
    <col min="5390" max="5390" width="20.7109375" style="8" customWidth="1"/>
    <col min="5391" max="5628" width="11.42578125" style="8"/>
    <col min="5629" max="5629" width="13.7109375" style="8" customWidth="1"/>
    <col min="5630" max="5630" width="8.28515625" style="8" customWidth="1"/>
    <col min="5631" max="5631" width="23.140625" style="8" customWidth="1"/>
    <col min="5632" max="5635" width="11.42578125" style="8"/>
    <col min="5636" max="5641" width="12" style="8" customWidth="1"/>
    <col min="5642" max="5645" width="11.42578125" style="8"/>
    <col min="5646" max="5646" width="20.7109375" style="8" customWidth="1"/>
    <col min="5647" max="5884" width="11.42578125" style="8"/>
    <col min="5885" max="5885" width="13.7109375" style="8" customWidth="1"/>
    <col min="5886" max="5886" width="8.28515625" style="8" customWidth="1"/>
    <col min="5887" max="5887" width="23.140625" style="8" customWidth="1"/>
    <col min="5888" max="5891" width="11.42578125" style="8"/>
    <col min="5892" max="5897" width="12" style="8" customWidth="1"/>
    <col min="5898" max="5901" width="11.42578125" style="8"/>
    <col min="5902" max="5902" width="20.7109375" style="8" customWidth="1"/>
    <col min="5903" max="6140" width="11.42578125" style="8"/>
    <col min="6141" max="6141" width="13.7109375" style="8" customWidth="1"/>
    <col min="6142" max="6142" width="8.28515625" style="8" customWidth="1"/>
    <col min="6143" max="6143" width="23.140625" style="8" customWidth="1"/>
    <col min="6144" max="6147" width="11.42578125" style="8"/>
    <col min="6148" max="6153" width="12" style="8" customWidth="1"/>
    <col min="6154" max="6157" width="11.42578125" style="8"/>
    <col min="6158" max="6158" width="20.7109375" style="8" customWidth="1"/>
    <col min="6159" max="6396" width="11.42578125" style="8"/>
    <col min="6397" max="6397" width="13.7109375" style="8" customWidth="1"/>
    <col min="6398" max="6398" width="8.28515625" style="8" customWidth="1"/>
    <col min="6399" max="6399" width="23.140625" style="8" customWidth="1"/>
    <col min="6400" max="6403" width="11.42578125" style="8"/>
    <col min="6404" max="6409" width="12" style="8" customWidth="1"/>
    <col min="6410" max="6413" width="11.42578125" style="8"/>
    <col min="6414" max="6414" width="20.7109375" style="8" customWidth="1"/>
    <col min="6415" max="6652" width="11.42578125" style="8"/>
    <col min="6653" max="6653" width="13.7109375" style="8" customWidth="1"/>
    <col min="6654" max="6654" width="8.28515625" style="8" customWidth="1"/>
    <col min="6655" max="6655" width="23.140625" style="8" customWidth="1"/>
    <col min="6656" max="6659" width="11.42578125" style="8"/>
    <col min="6660" max="6665" width="12" style="8" customWidth="1"/>
    <col min="6666" max="6669" width="11.42578125" style="8"/>
    <col min="6670" max="6670" width="20.7109375" style="8" customWidth="1"/>
    <col min="6671" max="6908" width="11.42578125" style="8"/>
    <col min="6909" max="6909" width="13.7109375" style="8" customWidth="1"/>
    <col min="6910" max="6910" width="8.28515625" style="8" customWidth="1"/>
    <col min="6911" max="6911" width="23.140625" style="8" customWidth="1"/>
    <col min="6912" max="6915" width="11.42578125" style="8"/>
    <col min="6916" max="6921" width="12" style="8" customWidth="1"/>
    <col min="6922" max="6925" width="11.42578125" style="8"/>
    <col min="6926" max="6926" width="20.7109375" style="8" customWidth="1"/>
    <col min="6927" max="7164" width="11.42578125" style="8"/>
    <col min="7165" max="7165" width="13.7109375" style="8" customWidth="1"/>
    <col min="7166" max="7166" width="8.28515625" style="8" customWidth="1"/>
    <col min="7167" max="7167" width="23.140625" style="8" customWidth="1"/>
    <col min="7168" max="7171" width="11.42578125" style="8"/>
    <col min="7172" max="7177" width="12" style="8" customWidth="1"/>
    <col min="7178" max="7181" width="11.42578125" style="8"/>
    <col min="7182" max="7182" width="20.7109375" style="8" customWidth="1"/>
    <col min="7183" max="7420" width="11.42578125" style="8"/>
    <col min="7421" max="7421" width="13.7109375" style="8" customWidth="1"/>
    <col min="7422" max="7422" width="8.28515625" style="8" customWidth="1"/>
    <col min="7423" max="7423" width="23.140625" style="8" customWidth="1"/>
    <col min="7424" max="7427" width="11.42578125" style="8"/>
    <col min="7428" max="7433" width="12" style="8" customWidth="1"/>
    <col min="7434" max="7437" width="11.42578125" style="8"/>
    <col min="7438" max="7438" width="20.7109375" style="8" customWidth="1"/>
    <col min="7439" max="7676" width="11.42578125" style="8"/>
    <col min="7677" max="7677" width="13.7109375" style="8" customWidth="1"/>
    <col min="7678" max="7678" width="8.28515625" style="8" customWidth="1"/>
    <col min="7679" max="7679" width="23.140625" style="8" customWidth="1"/>
    <col min="7680" max="7683" width="11.42578125" style="8"/>
    <col min="7684" max="7689" width="12" style="8" customWidth="1"/>
    <col min="7690" max="7693" width="11.42578125" style="8"/>
    <col min="7694" max="7694" width="20.7109375" style="8" customWidth="1"/>
    <col min="7695" max="7932" width="11.42578125" style="8"/>
    <col min="7933" max="7933" width="13.7109375" style="8" customWidth="1"/>
    <col min="7934" max="7934" width="8.28515625" style="8" customWidth="1"/>
    <col min="7935" max="7935" width="23.140625" style="8" customWidth="1"/>
    <col min="7936" max="7939" width="11.42578125" style="8"/>
    <col min="7940" max="7945" width="12" style="8" customWidth="1"/>
    <col min="7946" max="7949" width="11.42578125" style="8"/>
    <col min="7950" max="7950" width="20.7109375" style="8" customWidth="1"/>
    <col min="7951" max="8188" width="11.42578125" style="8"/>
    <col min="8189" max="8189" width="13.7109375" style="8" customWidth="1"/>
    <col min="8190" max="8190" width="8.28515625" style="8" customWidth="1"/>
    <col min="8191" max="8191" width="23.140625" style="8" customWidth="1"/>
    <col min="8192" max="8195" width="11.42578125" style="8"/>
    <col min="8196" max="8201" width="12" style="8" customWidth="1"/>
    <col min="8202" max="8205" width="11.42578125" style="8"/>
    <col min="8206" max="8206" width="20.7109375" style="8" customWidth="1"/>
    <col min="8207" max="8444" width="11.42578125" style="8"/>
    <col min="8445" max="8445" width="13.7109375" style="8" customWidth="1"/>
    <col min="8446" max="8446" width="8.28515625" style="8" customWidth="1"/>
    <col min="8447" max="8447" width="23.140625" style="8" customWidth="1"/>
    <col min="8448" max="8451" width="11.42578125" style="8"/>
    <col min="8452" max="8457" width="12" style="8" customWidth="1"/>
    <col min="8458" max="8461" width="11.42578125" style="8"/>
    <col min="8462" max="8462" width="20.7109375" style="8" customWidth="1"/>
    <col min="8463" max="8700" width="11.42578125" style="8"/>
    <col min="8701" max="8701" width="13.7109375" style="8" customWidth="1"/>
    <col min="8702" max="8702" width="8.28515625" style="8" customWidth="1"/>
    <col min="8703" max="8703" width="23.140625" style="8" customWidth="1"/>
    <col min="8704" max="8707" width="11.42578125" style="8"/>
    <col min="8708" max="8713" width="12" style="8" customWidth="1"/>
    <col min="8714" max="8717" width="11.42578125" style="8"/>
    <col min="8718" max="8718" width="20.7109375" style="8" customWidth="1"/>
    <col min="8719" max="8956" width="11.42578125" style="8"/>
    <col min="8957" max="8957" width="13.7109375" style="8" customWidth="1"/>
    <col min="8958" max="8958" width="8.28515625" style="8" customWidth="1"/>
    <col min="8959" max="8959" width="23.140625" style="8" customWidth="1"/>
    <col min="8960" max="8963" width="11.42578125" style="8"/>
    <col min="8964" max="8969" width="12" style="8" customWidth="1"/>
    <col min="8970" max="8973" width="11.42578125" style="8"/>
    <col min="8974" max="8974" width="20.7109375" style="8" customWidth="1"/>
    <col min="8975" max="9212" width="11.42578125" style="8"/>
    <col min="9213" max="9213" width="13.7109375" style="8" customWidth="1"/>
    <col min="9214" max="9214" width="8.28515625" style="8" customWidth="1"/>
    <col min="9215" max="9215" width="23.140625" style="8" customWidth="1"/>
    <col min="9216" max="9219" width="11.42578125" style="8"/>
    <col min="9220" max="9225" width="12" style="8" customWidth="1"/>
    <col min="9226" max="9229" width="11.42578125" style="8"/>
    <col min="9230" max="9230" width="20.7109375" style="8" customWidth="1"/>
    <col min="9231" max="9468" width="11.42578125" style="8"/>
    <col min="9469" max="9469" width="13.7109375" style="8" customWidth="1"/>
    <col min="9470" max="9470" width="8.28515625" style="8" customWidth="1"/>
    <col min="9471" max="9471" width="23.140625" style="8" customWidth="1"/>
    <col min="9472" max="9475" width="11.42578125" style="8"/>
    <col min="9476" max="9481" width="12" style="8" customWidth="1"/>
    <col min="9482" max="9485" width="11.42578125" style="8"/>
    <col min="9486" max="9486" width="20.7109375" style="8" customWidth="1"/>
    <col min="9487" max="9724" width="11.42578125" style="8"/>
    <col min="9725" max="9725" width="13.7109375" style="8" customWidth="1"/>
    <col min="9726" max="9726" width="8.28515625" style="8" customWidth="1"/>
    <col min="9727" max="9727" width="23.140625" style="8" customWidth="1"/>
    <col min="9728" max="9731" width="11.42578125" style="8"/>
    <col min="9732" max="9737" width="12" style="8" customWidth="1"/>
    <col min="9738" max="9741" width="11.42578125" style="8"/>
    <col min="9742" max="9742" width="20.7109375" style="8" customWidth="1"/>
    <col min="9743" max="9980" width="11.42578125" style="8"/>
    <col min="9981" max="9981" width="13.7109375" style="8" customWidth="1"/>
    <col min="9982" max="9982" width="8.28515625" style="8" customWidth="1"/>
    <col min="9983" max="9983" width="23.140625" style="8" customWidth="1"/>
    <col min="9984" max="9987" width="11.42578125" style="8"/>
    <col min="9988" max="9993" width="12" style="8" customWidth="1"/>
    <col min="9994" max="9997" width="11.42578125" style="8"/>
    <col min="9998" max="9998" width="20.7109375" style="8" customWidth="1"/>
    <col min="9999" max="10236" width="11.42578125" style="8"/>
    <col min="10237" max="10237" width="13.7109375" style="8" customWidth="1"/>
    <col min="10238" max="10238" width="8.28515625" style="8" customWidth="1"/>
    <col min="10239" max="10239" width="23.140625" style="8" customWidth="1"/>
    <col min="10240" max="10243" width="11.42578125" style="8"/>
    <col min="10244" max="10249" width="12" style="8" customWidth="1"/>
    <col min="10250" max="10253" width="11.42578125" style="8"/>
    <col min="10254" max="10254" width="20.7109375" style="8" customWidth="1"/>
    <col min="10255" max="10492" width="11.42578125" style="8"/>
    <col min="10493" max="10493" width="13.7109375" style="8" customWidth="1"/>
    <col min="10494" max="10494" width="8.28515625" style="8" customWidth="1"/>
    <col min="10495" max="10495" width="23.140625" style="8" customWidth="1"/>
    <col min="10496" max="10499" width="11.42578125" style="8"/>
    <col min="10500" max="10505" width="12" style="8" customWidth="1"/>
    <col min="10506" max="10509" width="11.42578125" style="8"/>
    <col min="10510" max="10510" width="20.7109375" style="8" customWidth="1"/>
    <col min="10511" max="10748" width="11.42578125" style="8"/>
    <col min="10749" max="10749" width="13.7109375" style="8" customWidth="1"/>
    <col min="10750" max="10750" width="8.28515625" style="8" customWidth="1"/>
    <col min="10751" max="10751" width="23.140625" style="8" customWidth="1"/>
    <col min="10752" max="10755" width="11.42578125" style="8"/>
    <col min="10756" max="10761" width="12" style="8" customWidth="1"/>
    <col min="10762" max="10765" width="11.42578125" style="8"/>
    <col min="10766" max="10766" width="20.7109375" style="8" customWidth="1"/>
    <col min="10767" max="11004" width="11.42578125" style="8"/>
    <col min="11005" max="11005" width="13.7109375" style="8" customWidth="1"/>
    <col min="11006" max="11006" width="8.28515625" style="8" customWidth="1"/>
    <col min="11007" max="11007" width="23.140625" style="8" customWidth="1"/>
    <col min="11008" max="11011" width="11.42578125" style="8"/>
    <col min="11012" max="11017" width="12" style="8" customWidth="1"/>
    <col min="11018" max="11021" width="11.42578125" style="8"/>
    <col min="11022" max="11022" width="20.7109375" style="8" customWidth="1"/>
    <col min="11023" max="11260" width="11.42578125" style="8"/>
    <col min="11261" max="11261" width="13.7109375" style="8" customWidth="1"/>
    <col min="11262" max="11262" width="8.28515625" style="8" customWidth="1"/>
    <col min="11263" max="11263" width="23.140625" style="8" customWidth="1"/>
    <col min="11264" max="11267" width="11.42578125" style="8"/>
    <col min="11268" max="11273" width="12" style="8" customWidth="1"/>
    <col min="11274" max="11277" width="11.42578125" style="8"/>
    <col min="11278" max="11278" width="20.7109375" style="8" customWidth="1"/>
    <col min="11279" max="11516" width="11.42578125" style="8"/>
    <col min="11517" max="11517" width="13.7109375" style="8" customWidth="1"/>
    <col min="11518" max="11518" width="8.28515625" style="8" customWidth="1"/>
    <col min="11519" max="11519" width="23.140625" style="8" customWidth="1"/>
    <col min="11520" max="11523" width="11.42578125" style="8"/>
    <col min="11524" max="11529" width="12" style="8" customWidth="1"/>
    <col min="11530" max="11533" width="11.42578125" style="8"/>
    <col min="11534" max="11534" width="20.7109375" style="8" customWidth="1"/>
    <col min="11535" max="11772" width="11.42578125" style="8"/>
    <col min="11773" max="11773" width="13.7109375" style="8" customWidth="1"/>
    <col min="11774" max="11774" width="8.28515625" style="8" customWidth="1"/>
    <col min="11775" max="11775" width="23.140625" style="8" customWidth="1"/>
    <col min="11776" max="11779" width="11.42578125" style="8"/>
    <col min="11780" max="11785" width="12" style="8" customWidth="1"/>
    <col min="11786" max="11789" width="11.42578125" style="8"/>
    <col min="11790" max="11790" width="20.7109375" style="8" customWidth="1"/>
    <col min="11791" max="12028" width="11.42578125" style="8"/>
    <col min="12029" max="12029" width="13.7109375" style="8" customWidth="1"/>
    <col min="12030" max="12030" width="8.28515625" style="8" customWidth="1"/>
    <col min="12031" max="12031" width="23.140625" style="8" customWidth="1"/>
    <col min="12032" max="12035" width="11.42578125" style="8"/>
    <col min="12036" max="12041" width="12" style="8" customWidth="1"/>
    <col min="12042" max="12045" width="11.42578125" style="8"/>
    <col min="12046" max="12046" width="20.7109375" style="8" customWidth="1"/>
    <col min="12047" max="12284" width="11.42578125" style="8"/>
    <col min="12285" max="12285" width="13.7109375" style="8" customWidth="1"/>
    <col min="12286" max="12286" width="8.28515625" style="8" customWidth="1"/>
    <col min="12287" max="12287" width="23.140625" style="8" customWidth="1"/>
    <col min="12288" max="12291" width="11.42578125" style="8"/>
    <col min="12292" max="12297" width="12" style="8" customWidth="1"/>
    <col min="12298" max="12301" width="11.42578125" style="8"/>
    <col min="12302" max="12302" width="20.7109375" style="8" customWidth="1"/>
    <col min="12303" max="12540" width="11.42578125" style="8"/>
    <col min="12541" max="12541" width="13.7109375" style="8" customWidth="1"/>
    <col min="12542" max="12542" width="8.28515625" style="8" customWidth="1"/>
    <col min="12543" max="12543" width="23.140625" style="8" customWidth="1"/>
    <col min="12544" max="12547" width="11.42578125" style="8"/>
    <col min="12548" max="12553" width="12" style="8" customWidth="1"/>
    <col min="12554" max="12557" width="11.42578125" style="8"/>
    <col min="12558" max="12558" width="20.7109375" style="8" customWidth="1"/>
    <col min="12559" max="12796" width="11.42578125" style="8"/>
    <col min="12797" max="12797" width="13.7109375" style="8" customWidth="1"/>
    <col min="12798" max="12798" width="8.28515625" style="8" customWidth="1"/>
    <col min="12799" max="12799" width="23.140625" style="8" customWidth="1"/>
    <col min="12800" max="12803" width="11.42578125" style="8"/>
    <col min="12804" max="12809" width="12" style="8" customWidth="1"/>
    <col min="12810" max="12813" width="11.42578125" style="8"/>
    <col min="12814" max="12814" width="20.7109375" style="8" customWidth="1"/>
    <col min="12815" max="13052" width="11.42578125" style="8"/>
    <col min="13053" max="13053" width="13.7109375" style="8" customWidth="1"/>
    <col min="13054" max="13054" width="8.28515625" style="8" customWidth="1"/>
    <col min="13055" max="13055" width="23.140625" style="8" customWidth="1"/>
    <col min="13056" max="13059" width="11.42578125" style="8"/>
    <col min="13060" max="13065" width="12" style="8" customWidth="1"/>
    <col min="13066" max="13069" width="11.42578125" style="8"/>
    <col min="13070" max="13070" width="20.7109375" style="8" customWidth="1"/>
    <col min="13071" max="13308" width="11.42578125" style="8"/>
    <col min="13309" max="13309" width="13.7109375" style="8" customWidth="1"/>
    <col min="13310" max="13310" width="8.28515625" style="8" customWidth="1"/>
    <col min="13311" max="13311" width="23.140625" style="8" customWidth="1"/>
    <col min="13312" max="13315" width="11.42578125" style="8"/>
    <col min="13316" max="13321" width="12" style="8" customWidth="1"/>
    <col min="13322" max="13325" width="11.42578125" style="8"/>
    <col min="13326" max="13326" width="20.7109375" style="8" customWidth="1"/>
    <col min="13327" max="13564" width="11.42578125" style="8"/>
    <col min="13565" max="13565" width="13.7109375" style="8" customWidth="1"/>
    <col min="13566" max="13566" width="8.28515625" style="8" customWidth="1"/>
    <col min="13567" max="13567" width="23.140625" style="8" customWidth="1"/>
    <col min="13568" max="13571" width="11.42578125" style="8"/>
    <col min="13572" max="13577" width="12" style="8" customWidth="1"/>
    <col min="13578" max="13581" width="11.42578125" style="8"/>
    <col min="13582" max="13582" width="20.7109375" style="8" customWidth="1"/>
    <col min="13583" max="13820" width="11.42578125" style="8"/>
    <col min="13821" max="13821" width="13.7109375" style="8" customWidth="1"/>
    <col min="13822" max="13822" width="8.28515625" style="8" customWidth="1"/>
    <col min="13823" max="13823" width="23.140625" style="8" customWidth="1"/>
    <col min="13824" max="13827" width="11.42578125" style="8"/>
    <col min="13828" max="13833" width="12" style="8" customWidth="1"/>
    <col min="13834" max="13837" width="11.42578125" style="8"/>
    <col min="13838" max="13838" width="20.7109375" style="8" customWidth="1"/>
    <col min="13839" max="14076" width="11.42578125" style="8"/>
    <col min="14077" max="14077" width="13.7109375" style="8" customWidth="1"/>
    <col min="14078" max="14078" width="8.28515625" style="8" customWidth="1"/>
    <col min="14079" max="14079" width="23.140625" style="8" customWidth="1"/>
    <col min="14080" max="14083" width="11.42578125" style="8"/>
    <col min="14084" max="14089" width="12" style="8" customWidth="1"/>
    <col min="14090" max="14093" width="11.42578125" style="8"/>
    <col min="14094" max="14094" width="20.7109375" style="8" customWidth="1"/>
    <col min="14095" max="14332" width="11.42578125" style="8"/>
    <col min="14333" max="14333" width="13.7109375" style="8" customWidth="1"/>
    <col min="14334" max="14334" width="8.28515625" style="8" customWidth="1"/>
    <col min="14335" max="14335" width="23.140625" style="8" customWidth="1"/>
    <col min="14336" max="14339" width="11.42578125" style="8"/>
    <col min="14340" max="14345" width="12" style="8" customWidth="1"/>
    <col min="14346" max="14349" width="11.42578125" style="8"/>
    <col min="14350" max="14350" width="20.7109375" style="8" customWidth="1"/>
    <col min="14351" max="14588" width="11.42578125" style="8"/>
    <col min="14589" max="14589" width="13.7109375" style="8" customWidth="1"/>
    <col min="14590" max="14590" width="8.28515625" style="8" customWidth="1"/>
    <col min="14591" max="14591" width="23.140625" style="8" customWidth="1"/>
    <col min="14592" max="14595" width="11.42578125" style="8"/>
    <col min="14596" max="14601" width="12" style="8" customWidth="1"/>
    <col min="14602" max="14605" width="11.42578125" style="8"/>
    <col min="14606" max="14606" width="20.7109375" style="8" customWidth="1"/>
    <col min="14607" max="14844" width="11.42578125" style="8"/>
    <col min="14845" max="14845" width="13.7109375" style="8" customWidth="1"/>
    <col min="14846" max="14846" width="8.28515625" style="8" customWidth="1"/>
    <col min="14847" max="14847" width="23.140625" style="8" customWidth="1"/>
    <col min="14848" max="14851" width="11.42578125" style="8"/>
    <col min="14852" max="14857" width="12" style="8" customWidth="1"/>
    <col min="14858" max="14861" width="11.42578125" style="8"/>
    <col min="14862" max="14862" width="20.7109375" style="8" customWidth="1"/>
    <col min="14863" max="15100" width="11.42578125" style="8"/>
    <col min="15101" max="15101" width="13.7109375" style="8" customWidth="1"/>
    <col min="15102" max="15102" width="8.28515625" style="8" customWidth="1"/>
    <col min="15103" max="15103" width="23.140625" style="8" customWidth="1"/>
    <col min="15104" max="15107" width="11.42578125" style="8"/>
    <col min="15108" max="15113" width="12" style="8" customWidth="1"/>
    <col min="15114" max="15117" width="11.42578125" style="8"/>
    <col min="15118" max="15118" width="20.7109375" style="8" customWidth="1"/>
    <col min="15119" max="15356" width="11.42578125" style="8"/>
    <col min="15357" max="15357" width="13.7109375" style="8" customWidth="1"/>
    <col min="15358" max="15358" width="8.28515625" style="8" customWidth="1"/>
    <col min="15359" max="15359" width="23.140625" style="8" customWidth="1"/>
    <col min="15360" max="15363" width="11.42578125" style="8"/>
    <col min="15364" max="15369" width="12" style="8" customWidth="1"/>
    <col min="15370" max="15373" width="11.42578125" style="8"/>
    <col min="15374" max="15374" width="20.7109375" style="8" customWidth="1"/>
    <col min="15375" max="15612" width="11.42578125" style="8"/>
    <col min="15613" max="15613" width="13.7109375" style="8" customWidth="1"/>
    <col min="15614" max="15614" width="8.28515625" style="8" customWidth="1"/>
    <col min="15615" max="15615" width="23.140625" style="8" customWidth="1"/>
    <col min="15616" max="15619" width="11.42578125" style="8"/>
    <col min="15620" max="15625" width="12" style="8" customWidth="1"/>
    <col min="15626" max="15629" width="11.42578125" style="8"/>
    <col min="15630" max="15630" width="20.7109375" style="8" customWidth="1"/>
    <col min="15631" max="15868" width="11.42578125" style="8"/>
    <col min="15869" max="15869" width="13.7109375" style="8" customWidth="1"/>
    <col min="15870" max="15870" width="8.28515625" style="8" customWidth="1"/>
    <col min="15871" max="15871" width="23.140625" style="8" customWidth="1"/>
    <col min="15872" max="15875" width="11.42578125" style="8"/>
    <col min="15876" max="15881" width="12" style="8" customWidth="1"/>
    <col min="15882" max="15885" width="11.42578125" style="8"/>
    <col min="15886" max="15886" width="20.7109375" style="8" customWidth="1"/>
    <col min="15887" max="16124" width="11.42578125" style="8"/>
    <col min="16125" max="16125" width="13.7109375" style="8" customWidth="1"/>
    <col min="16126" max="16126" width="8.28515625" style="8" customWidth="1"/>
    <col min="16127" max="16127" width="23.140625" style="8" customWidth="1"/>
    <col min="16128" max="16131" width="11.42578125" style="8"/>
    <col min="16132" max="16137" width="12" style="8" customWidth="1"/>
    <col min="16138" max="16141" width="11.42578125" style="8"/>
    <col min="16142" max="16142" width="20.7109375" style="8" customWidth="1"/>
    <col min="16143" max="16384" width="11.42578125" style="8"/>
  </cols>
  <sheetData>
    <row r="1" spans="1:33"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R1" s="7"/>
      <c r="S1" s="7"/>
      <c r="T1" s="7"/>
      <c r="U1" s="7"/>
      <c r="V1" s="7"/>
      <c r="W1" s="7"/>
      <c r="X1" s="7"/>
      <c r="Y1" s="7"/>
    </row>
    <row r="2" spans="1:33">
      <c r="B2" s="9"/>
    </row>
    <row r="4" spans="1:33">
      <c r="A4" s="11"/>
      <c r="B4" s="303" t="s">
        <v>25</v>
      </c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  <c r="N4" s="303"/>
      <c r="O4" s="303"/>
      <c r="P4" s="303"/>
      <c r="Q4" s="303"/>
      <c r="R4" s="303"/>
      <c r="S4" s="303"/>
      <c r="T4" s="303"/>
      <c r="U4" s="303"/>
      <c r="V4" s="303"/>
      <c r="W4" s="303"/>
      <c r="X4" s="303"/>
      <c r="Y4" s="303"/>
      <c r="Z4" s="303"/>
      <c r="AA4" s="303"/>
      <c r="AB4" s="303"/>
      <c r="AC4" s="303"/>
      <c r="AD4" s="303"/>
      <c r="AE4" s="303"/>
    </row>
    <row r="5" spans="1:33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3">
      <c r="A6" s="13"/>
      <c r="B6" s="12"/>
      <c r="C6" s="14" t="s">
        <v>26</v>
      </c>
      <c r="D6" s="14"/>
      <c r="E6" s="14"/>
      <c r="F6" s="14"/>
      <c r="G6" s="14"/>
      <c r="H6" s="14"/>
      <c r="I6" s="14"/>
      <c r="J6" s="14"/>
      <c r="K6" s="14"/>
      <c r="L6" s="15" t="s">
        <v>27</v>
      </c>
      <c r="M6" s="14"/>
      <c r="N6" s="14"/>
      <c r="O6" s="14"/>
      <c r="P6" s="14"/>
      <c r="Q6" s="14"/>
      <c r="R6" s="14"/>
      <c r="S6" s="15" t="s">
        <v>28</v>
      </c>
      <c r="T6" s="14"/>
      <c r="U6" s="14"/>
      <c r="V6" s="14"/>
      <c r="W6" s="14"/>
      <c r="X6" s="14"/>
      <c r="Y6" s="14"/>
      <c r="Z6" s="15" t="s">
        <v>29</v>
      </c>
      <c r="AA6" s="14"/>
      <c r="AB6" s="14"/>
      <c r="AC6" s="14"/>
      <c r="AD6" s="14"/>
      <c r="AE6" s="14"/>
    </row>
    <row r="7" spans="1:33">
      <c r="A7" s="13"/>
      <c r="B7" s="12"/>
      <c r="C7" s="12"/>
      <c r="D7" s="12"/>
      <c r="E7" s="12"/>
      <c r="F7" s="12"/>
      <c r="G7" s="12"/>
      <c r="H7" s="12"/>
      <c r="I7" s="12"/>
      <c r="J7" s="12"/>
      <c r="K7" s="12"/>
      <c r="L7" s="304" t="s">
        <v>144</v>
      </c>
      <c r="M7" s="304"/>
      <c r="N7" s="304"/>
      <c r="O7" s="304"/>
      <c r="P7" s="304"/>
      <c r="Q7" s="304"/>
      <c r="R7" s="305" t="s">
        <v>30</v>
      </c>
      <c r="S7" s="304" t="s">
        <v>145</v>
      </c>
      <c r="T7" s="304"/>
      <c r="U7" s="304"/>
      <c r="V7" s="304"/>
      <c r="W7" s="304"/>
      <c r="X7" s="304"/>
      <c r="Y7" s="305" t="s">
        <v>31</v>
      </c>
      <c r="Z7" s="304" t="s">
        <v>146</v>
      </c>
      <c r="AA7" s="304"/>
      <c r="AB7" s="304"/>
      <c r="AC7" s="304"/>
      <c r="AD7" s="304"/>
      <c r="AE7" s="304"/>
    </row>
    <row r="8" spans="1:33">
      <c r="A8" s="13"/>
      <c r="B8" s="12"/>
      <c r="C8" s="16"/>
      <c r="D8" s="300"/>
      <c r="E8" s="301" t="s">
        <v>32</v>
      </c>
      <c r="F8" s="302" t="s">
        <v>33</v>
      </c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5"/>
      <c r="S8" s="302"/>
      <c r="T8" s="302"/>
      <c r="U8" s="302"/>
      <c r="V8" s="302"/>
      <c r="W8" s="302"/>
      <c r="X8" s="302"/>
      <c r="Y8" s="305"/>
      <c r="Z8" s="302"/>
      <c r="AA8" s="302"/>
      <c r="AB8" s="302"/>
      <c r="AC8" s="302"/>
      <c r="AD8" s="302"/>
      <c r="AE8" s="302"/>
    </row>
    <row r="9" spans="1:33">
      <c r="A9" s="13"/>
      <c r="B9" s="12"/>
      <c r="C9" s="16"/>
      <c r="D9" s="300"/>
      <c r="E9" s="301"/>
      <c r="F9" s="17" t="s">
        <v>34</v>
      </c>
      <c r="G9" s="17" t="s">
        <v>35</v>
      </c>
      <c r="H9" s="17" t="s">
        <v>36</v>
      </c>
      <c r="I9" s="17" t="s">
        <v>37</v>
      </c>
      <c r="J9" s="17" t="s">
        <v>38</v>
      </c>
      <c r="K9" s="17" t="s">
        <v>39</v>
      </c>
      <c r="L9" s="17" t="s">
        <v>34</v>
      </c>
      <c r="M9" s="17" t="s">
        <v>35</v>
      </c>
      <c r="N9" s="17" t="s">
        <v>36</v>
      </c>
      <c r="O9" s="17" t="s">
        <v>37</v>
      </c>
      <c r="P9" s="17" t="s">
        <v>38</v>
      </c>
      <c r="Q9" s="17" t="s">
        <v>39</v>
      </c>
      <c r="R9" s="305"/>
      <c r="S9" s="17" t="s">
        <v>34</v>
      </c>
      <c r="T9" s="17" t="s">
        <v>35</v>
      </c>
      <c r="U9" s="17" t="s">
        <v>36</v>
      </c>
      <c r="V9" s="17" t="s">
        <v>37</v>
      </c>
      <c r="W9" s="17" t="s">
        <v>38</v>
      </c>
      <c r="X9" s="17" t="s">
        <v>39</v>
      </c>
      <c r="Y9" s="305"/>
      <c r="Z9" s="17" t="s">
        <v>34</v>
      </c>
      <c r="AA9" s="17" t="s">
        <v>35</v>
      </c>
      <c r="AB9" s="17" t="s">
        <v>36</v>
      </c>
      <c r="AC9" s="17" t="s">
        <v>37</v>
      </c>
      <c r="AD9" s="17" t="s">
        <v>38</v>
      </c>
      <c r="AE9" s="17" t="s">
        <v>39</v>
      </c>
    </row>
    <row r="10" spans="1:33">
      <c r="A10" s="13" t="s">
        <v>40</v>
      </c>
      <c r="B10" s="13" t="s">
        <v>41</v>
      </c>
      <c r="C10" s="18" t="s">
        <v>42</v>
      </c>
      <c r="D10" s="19" t="s">
        <v>43</v>
      </c>
      <c r="E10" s="20">
        <v>9999999999</v>
      </c>
      <c r="F10" s="21">
        <v>0.12297297534246576</v>
      </c>
      <c r="G10" s="21">
        <v>4.3976021917808222E-2</v>
      </c>
      <c r="H10" s="21" t="s">
        <v>44</v>
      </c>
      <c r="I10" s="21"/>
      <c r="J10" s="21"/>
      <c r="K10" s="21"/>
      <c r="L10" s="22">
        <v>0.13617099999999999</v>
      </c>
      <c r="M10" s="22"/>
      <c r="N10" s="22"/>
      <c r="O10" s="22"/>
      <c r="P10" s="22"/>
      <c r="Q10" s="22"/>
      <c r="R10" s="23" t="s">
        <v>45</v>
      </c>
      <c r="S10" s="22">
        <v>0.120671</v>
      </c>
      <c r="T10" s="24"/>
      <c r="U10" s="24"/>
      <c r="V10" s="24"/>
      <c r="W10" s="24"/>
      <c r="X10" s="24"/>
      <c r="Y10" s="23" t="s">
        <v>46</v>
      </c>
      <c r="Z10" s="22">
        <v>0.149171</v>
      </c>
      <c r="AA10" s="24"/>
      <c r="AB10" s="24"/>
      <c r="AC10" s="24"/>
      <c r="AD10" s="24"/>
      <c r="AE10" s="24"/>
      <c r="AF10" s="13" t="s">
        <v>47</v>
      </c>
      <c r="AG10" s="13" t="s">
        <v>48</v>
      </c>
    </row>
    <row r="11" spans="1:3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3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3">
      <c r="A13" s="13"/>
      <c r="B13" s="12"/>
      <c r="C13" s="14" t="s">
        <v>49</v>
      </c>
      <c r="D13" s="14"/>
      <c r="E13" s="14"/>
      <c r="F13" s="14"/>
      <c r="G13" s="14"/>
      <c r="H13" s="14"/>
      <c r="I13" s="14"/>
      <c r="J13" s="14"/>
      <c r="K13" s="14"/>
      <c r="L13" s="15" t="s">
        <v>27</v>
      </c>
      <c r="M13" s="14"/>
      <c r="N13" s="14"/>
      <c r="O13" s="14"/>
      <c r="P13" s="14"/>
      <c r="Q13" s="14"/>
      <c r="R13" s="14"/>
      <c r="S13" s="15" t="s">
        <v>28</v>
      </c>
      <c r="T13" s="14"/>
      <c r="U13" s="14"/>
      <c r="V13" s="14"/>
      <c r="W13" s="14"/>
      <c r="X13" s="14"/>
      <c r="Y13" s="14"/>
      <c r="Z13" s="15" t="s">
        <v>29</v>
      </c>
      <c r="AA13" s="14"/>
      <c r="AB13" s="14"/>
      <c r="AC13" s="14"/>
      <c r="AD13" s="14"/>
      <c r="AE13" s="14"/>
    </row>
    <row r="14" spans="1:33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304" t="s">
        <v>147</v>
      </c>
      <c r="M14" s="304"/>
      <c r="N14" s="304"/>
      <c r="O14" s="304"/>
      <c r="P14" s="304"/>
      <c r="Q14" s="304"/>
      <c r="R14" s="305" t="s">
        <v>30</v>
      </c>
      <c r="S14" s="304" t="s">
        <v>148</v>
      </c>
      <c r="T14" s="304"/>
      <c r="U14" s="304"/>
      <c r="V14" s="304"/>
      <c r="W14" s="304"/>
      <c r="X14" s="304"/>
      <c r="Y14" s="305" t="s">
        <v>31</v>
      </c>
      <c r="Z14" s="304" t="s">
        <v>149</v>
      </c>
      <c r="AA14" s="304"/>
      <c r="AB14" s="304"/>
      <c r="AC14" s="304"/>
      <c r="AD14" s="304"/>
      <c r="AE14" s="304"/>
    </row>
    <row r="15" spans="1:33">
      <c r="A15" s="13"/>
      <c r="B15" s="12"/>
      <c r="C15" s="16"/>
      <c r="D15" s="300"/>
      <c r="E15" s="301" t="s">
        <v>32</v>
      </c>
      <c r="F15" s="302" t="s">
        <v>33</v>
      </c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5"/>
      <c r="S15" s="302"/>
      <c r="T15" s="302"/>
      <c r="U15" s="302"/>
      <c r="V15" s="302"/>
      <c r="W15" s="302"/>
      <c r="X15" s="302"/>
      <c r="Y15" s="305"/>
      <c r="Z15" s="302"/>
      <c r="AA15" s="302"/>
      <c r="AB15" s="302"/>
      <c r="AC15" s="302"/>
      <c r="AD15" s="302"/>
      <c r="AE15" s="302"/>
    </row>
    <row r="16" spans="1:33">
      <c r="A16" s="13"/>
      <c r="B16" s="12"/>
      <c r="C16" s="16"/>
      <c r="D16" s="300"/>
      <c r="E16" s="301"/>
      <c r="F16" s="17" t="s">
        <v>34</v>
      </c>
      <c r="G16" s="17" t="s">
        <v>35</v>
      </c>
      <c r="H16" s="17" t="s">
        <v>36</v>
      </c>
      <c r="I16" s="17" t="s">
        <v>37</v>
      </c>
      <c r="J16" s="17" t="s">
        <v>38</v>
      </c>
      <c r="K16" s="17" t="s">
        <v>39</v>
      </c>
      <c r="L16" s="17" t="s">
        <v>34</v>
      </c>
      <c r="M16" s="17" t="s">
        <v>35</v>
      </c>
      <c r="N16" s="17" t="s">
        <v>36</v>
      </c>
      <c r="O16" s="17" t="s">
        <v>37</v>
      </c>
      <c r="P16" s="17" t="s">
        <v>38</v>
      </c>
      <c r="Q16" s="17" t="s">
        <v>39</v>
      </c>
      <c r="R16" s="305"/>
      <c r="S16" s="17" t="s">
        <v>34</v>
      </c>
      <c r="T16" s="17" t="s">
        <v>35</v>
      </c>
      <c r="U16" s="17" t="s">
        <v>36</v>
      </c>
      <c r="V16" s="17" t="s">
        <v>37</v>
      </c>
      <c r="W16" s="17" t="s">
        <v>38</v>
      </c>
      <c r="X16" s="17" t="s">
        <v>39</v>
      </c>
      <c r="Y16" s="305"/>
      <c r="Z16" s="17" t="s">
        <v>34</v>
      </c>
      <c r="AA16" s="17" t="s">
        <v>35</v>
      </c>
      <c r="AB16" s="17" t="s">
        <v>36</v>
      </c>
      <c r="AC16" s="17" t="s">
        <v>37</v>
      </c>
      <c r="AD16" s="17" t="s">
        <v>38</v>
      </c>
      <c r="AE16" s="17" t="s">
        <v>39</v>
      </c>
    </row>
    <row r="17" spans="1:56">
      <c r="A17" s="13" t="s">
        <v>50</v>
      </c>
      <c r="B17" s="13" t="s">
        <v>51</v>
      </c>
      <c r="C17" s="18" t="s">
        <v>42</v>
      </c>
      <c r="D17" s="19" t="s">
        <v>52</v>
      </c>
      <c r="E17" s="20">
        <v>9999999999</v>
      </c>
      <c r="F17" s="21">
        <v>0.12297297534246576</v>
      </c>
      <c r="G17" s="21">
        <v>4.3976021917808222E-2</v>
      </c>
      <c r="H17" s="21"/>
      <c r="I17" s="21"/>
      <c r="J17" s="21"/>
      <c r="K17" s="21"/>
      <c r="L17" s="22">
        <v>0.20646400000000001</v>
      </c>
      <c r="M17" s="22">
        <v>0.13331100000000001</v>
      </c>
      <c r="N17" s="22">
        <v>9.7973000000000005E-2</v>
      </c>
      <c r="O17" s="22"/>
      <c r="P17" s="22"/>
      <c r="Q17" s="22"/>
      <c r="R17" s="23" t="s">
        <v>53</v>
      </c>
      <c r="S17" s="22">
        <v>0.19096399999999999</v>
      </c>
      <c r="T17" s="22">
        <v>0.117811</v>
      </c>
      <c r="U17" s="22">
        <v>8.2473000000000005E-2</v>
      </c>
      <c r="V17" s="22"/>
      <c r="W17" s="22"/>
      <c r="X17" s="22"/>
      <c r="Y17" s="23" t="s">
        <v>54</v>
      </c>
      <c r="Z17" s="22">
        <v>0.21946499999999999</v>
      </c>
      <c r="AA17" s="22">
        <v>0.146312</v>
      </c>
      <c r="AB17" s="22">
        <v>0.110973</v>
      </c>
      <c r="AC17" s="22"/>
      <c r="AD17" s="22"/>
      <c r="AE17" s="22"/>
      <c r="AF17" s="13" t="s">
        <v>55</v>
      </c>
      <c r="AG17" s="13" t="s">
        <v>56</v>
      </c>
      <c r="AH17" s="25"/>
      <c r="AI17" s="25"/>
      <c r="AJ17" s="25"/>
      <c r="AK17" s="25"/>
      <c r="AL17" s="25"/>
      <c r="AM17" s="25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</row>
    <row r="18" spans="1:56" s="35" customFormat="1">
      <c r="A18" s="13" t="s">
        <v>57</v>
      </c>
      <c r="B18" s="13" t="s">
        <v>51</v>
      </c>
      <c r="C18" s="27" t="s">
        <v>58</v>
      </c>
      <c r="D18" s="28" t="s">
        <v>59</v>
      </c>
      <c r="E18" s="29">
        <v>9999999999</v>
      </c>
      <c r="F18" s="30">
        <v>5.792764931506849E-2</v>
      </c>
      <c r="G18" s="31">
        <v>3.1189775342465753E-2</v>
      </c>
      <c r="H18" s="31">
        <v>1.4378597260273972E-2</v>
      </c>
      <c r="I18" s="31">
        <v>1.2747912328767125E-2</v>
      </c>
      <c r="J18" s="31">
        <v>8.9877041095890401E-3</v>
      </c>
      <c r="K18" s="31">
        <v>6.0519452054794516E-3</v>
      </c>
      <c r="L18" s="32">
        <v>0.195993</v>
      </c>
      <c r="M18" s="32">
        <v>0.17041400000000001</v>
      </c>
      <c r="N18" s="32">
        <v>0.147424</v>
      </c>
      <c r="O18" s="32">
        <v>0.13373599999999999</v>
      </c>
      <c r="P18" s="32">
        <v>0.12704299999999999</v>
      </c>
      <c r="Q18" s="32">
        <v>0.11920799999999999</v>
      </c>
      <c r="R18" s="23" t="s">
        <v>60</v>
      </c>
      <c r="S18" s="32">
        <v>0.18359300000000001</v>
      </c>
      <c r="T18" s="32">
        <v>0.15801399999999999</v>
      </c>
      <c r="U18" s="32">
        <v>0.13492499999999999</v>
      </c>
      <c r="V18" s="32">
        <v>0.121236</v>
      </c>
      <c r="W18" s="32">
        <v>0.114444</v>
      </c>
      <c r="X18" s="32">
        <v>0.106808</v>
      </c>
      <c r="Y18" s="23" t="s">
        <v>61</v>
      </c>
      <c r="Z18" s="32">
        <v>0.21549299999999999</v>
      </c>
      <c r="AA18" s="32">
        <v>0.189914</v>
      </c>
      <c r="AB18" s="32">
        <v>0.16692499999999999</v>
      </c>
      <c r="AC18" s="32">
        <v>0.15323500000000001</v>
      </c>
      <c r="AD18" s="32">
        <v>0.14654300000000001</v>
      </c>
      <c r="AE18" s="32">
        <v>0.138708</v>
      </c>
      <c r="AF18" s="13" t="s">
        <v>55</v>
      </c>
      <c r="AG18" s="33" t="s">
        <v>56</v>
      </c>
      <c r="AH18" s="25"/>
      <c r="AI18" s="25"/>
      <c r="AJ18" s="25"/>
      <c r="AK18" s="25"/>
      <c r="AL18" s="25"/>
      <c r="AM18" s="25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pans="1:56" s="35" customFormat="1">
      <c r="A19" s="13" t="s">
        <v>62</v>
      </c>
      <c r="B19" s="13" t="s">
        <v>51</v>
      </c>
      <c r="C19" s="18" t="s">
        <v>63</v>
      </c>
      <c r="D19" s="19" t="s">
        <v>64</v>
      </c>
      <c r="E19" s="20">
        <v>9999999999</v>
      </c>
      <c r="F19" s="21">
        <v>8.1083210958904098E-2</v>
      </c>
      <c r="G19" s="21">
        <v>4.2506038356164379E-2</v>
      </c>
      <c r="H19" s="21">
        <v>1.8635276712328768E-2</v>
      </c>
      <c r="I19" s="21">
        <v>1.4777621917808218E-2</v>
      </c>
      <c r="J19" s="21">
        <v>5.8222356164383572E-3</v>
      </c>
      <c r="K19" s="21">
        <v>2.7511890410958904E-3</v>
      </c>
      <c r="L19" s="22">
        <v>0.17010600000000001</v>
      </c>
      <c r="M19" s="22">
        <v>0.14935499999999999</v>
      </c>
      <c r="N19" s="22">
        <v>0.133961</v>
      </c>
      <c r="O19" s="22">
        <v>0.124135</v>
      </c>
      <c r="P19" s="22">
        <v>0.117561</v>
      </c>
      <c r="Q19" s="22">
        <v>0.111182</v>
      </c>
      <c r="R19" s="23" t="s">
        <v>65</v>
      </c>
      <c r="S19" s="22">
        <v>0.158307</v>
      </c>
      <c r="T19" s="22">
        <v>0.13745599999999999</v>
      </c>
      <c r="U19" s="22">
        <v>0.122062</v>
      </c>
      <c r="V19" s="22">
        <v>0.112235</v>
      </c>
      <c r="W19" s="22">
        <v>0.105661</v>
      </c>
      <c r="X19" s="22">
        <v>9.9382999999999999E-2</v>
      </c>
      <c r="Y19" s="23" t="s">
        <v>66</v>
      </c>
      <c r="Z19" s="22">
        <v>0.189606</v>
      </c>
      <c r="AA19" s="22">
        <v>0.16885600000000001</v>
      </c>
      <c r="AB19" s="22">
        <v>0.15346099999999999</v>
      </c>
      <c r="AC19" s="22">
        <v>0.14363500000000001</v>
      </c>
      <c r="AD19" s="22">
        <v>0.13705999999999999</v>
      </c>
      <c r="AE19" s="22">
        <v>0.13068299999999999</v>
      </c>
      <c r="AF19" s="33" t="s">
        <v>55</v>
      </c>
      <c r="AG19" s="33" t="s">
        <v>56</v>
      </c>
      <c r="AH19" s="25"/>
      <c r="AI19" s="25"/>
      <c r="AJ19" s="25"/>
      <c r="AK19" s="25"/>
      <c r="AL19" s="25"/>
      <c r="AM19" s="25"/>
    </row>
    <row r="20" spans="1:56">
      <c r="A20" s="13"/>
      <c r="B20" s="36"/>
      <c r="C20" s="27"/>
      <c r="D20" s="28"/>
      <c r="E20" s="28"/>
      <c r="F20" s="29"/>
      <c r="G20" s="31"/>
      <c r="H20" s="31"/>
      <c r="I20" s="31"/>
      <c r="J20" s="31"/>
      <c r="K20" s="31"/>
      <c r="L20" s="31"/>
      <c r="M20" s="37"/>
      <c r="N20" s="37"/>
      <c r="O20" s="37"/>
      <c r="P20" s="37"/>
      <c r="Q20" s="37"/>
      <c r="R20" s="37"/>
      <c r="S20" s="38"/>
      <c r="T20" s="38"/>
      <c r="U20" s="38"/>
      <c r="V20" s="38"/>
      <c r="W20" s="39"/>
      <c r="Z20" s="40">
        <v>0.11</v>
      </c>
      <c r="AA20" s="40">
        <v>0.13</v>
      </c>
      <c r="AB20" s="40">
        <v>0.13</v>
      </c>
      <c r="AC20" s="40">
        <v>0.14000000000000001</v>
      </c>
      <c r="AD20" s="40">
        <v>0.05</v>
      </c>
      <c r="AE20" s="40">
        <v>0.44</v>
      </c>
    </row>
    <row r="21" spans="1:56">
      <c r="A21" s="13"/>
      <c r="B21" s="12"/>
      <c r="C21" s="14" t="s">
        <v>67</v>
      </c>
      <c r="D21" s="14"/>
      <c r="E21" s="14"/>
      <c r="F21" s="14"/>
      <c r="G21" s="14"/>
      <c r="H21" s="14"/>
      <c r="I21" s="14"/>
      <c r="J21" s="14"/>
      <c r="K21" s="14"/>
      <c r="L21" s="15" t="s">
        <v>27</v>
      </c>
      <c r="M21" s="14"/>
      <c r="N21" s="14"/>
      <c r="O21" s="14"/>
      <c r="P21" s="14"/>
      <c r="Q21" s="14"/>
      <c r="R21" s="14"/>
      <c r="S21" s="15" t="s">
        <v>28</v>
      </c>
      <c r="T21" s="14"/>
      <c r="U21" s="14"/>
      <c r="V21" s="14"/>
      <c r="W21" s="14"/>
      <c r="X21" s="14"/>
      <c r="Y21" s="14"/>
      <c r="Z21" s="15" t="s">
        <v>29</v>
      </c>
      <c r="AA21" s="14"/>
      <c r="AB21" s="14"/>
      <c r="AC21" s="14"/>
      <c r="AD21" s="14"/>
      <c r="AE21" s="14"/>
    </row>
    <row r="22" spans="1:56">
      <c r="A22" s="13"/>
      <c r="B22" s="12"/>
      <c r="C22" s="13">
        <v>9.4000000000000004E-3</v>
      </c>
      <c r="D22" s="12"/>
      <c r="E22" s="12"/>
      <c r="F22" s="12"/>
      <c r="G22" s="12"/>
      <c r="H22" s="12"/>
      <c r="I22" s="12"/>
      <c r="J22" s="12"/>
      <c r="K22" s="12"/>
      <c r="L22" s="304" t="s">
        <v>150</v>
      </c>
      <c r="M22" s="304"/>
      <c r="N22" s="304"/>
      <c r="O22" s="304"/>
      <c r="P22" s="304"/>
      <c r="Q22" s="304"/>
      <c r="R22" s="305" t="s">
        <v>30</v>
      </c>
      <c r="S22" s="304" t="s">
        <v>151</v>
      </c>
      <c r="T22" s="304"/>
      <c r="U22" s="304"/>
      <c r="V22" s="304"/>
      <c r="W22" s="304"/>
      <c r="X22" s="304"/>
      <c r="Y22" s="305" t="s">
        <v>31</v>
      </c>
      <c r="Z22" s="304" t="s">
        <v>152</v>
      </c>
      <c r="AA22" s="304"/>
      <c r="AB22" s="304"/>
      <c r="AC22" s="304"/>
      <c r="AD22" s="304"/>
      <c r="AE22" s="304"/>
    </row>
    <row r="23" spans="1:56">
      <c r="A23" s="13"/>
      <c r="B23" s="12"/>
      <c r="C23" s="16"/>
      <c r="D23" s="300"/>
      <c r="E23" s="301" t="s">
        <v>32</v>
      </c>
      <c r="F23" s="302" t="s">
        <v>33</v>
      </c>
      <c r="G23" s="302"/>
      <c r="H23" s="302"/>
      <c r="I23" s="302"/>
      <c r="J23" s="302"/>
      <c r="K23" s="302"/>
      <c r="L23" s="302"/>
      <c r="M23" s="302"/>
      <c r="N23" s="302"/>
      <c r="O23" s="302"/>
      <c r="P23" s="302"/>
      <c r="Q23" s="302"/>
      <c r="R23" s="305"/>
      <c r="S23" s="302"/>
      <c r="T23" s="302"/>
      <c r="U23" s="302"/>
      <c r="V23" s="302"/>
      <c r="W23" s="302"/>
      <c r="X23" s="302"/>
      <c r="Y23" s="305"/>
      <c r="Z23" s="302"/>
      <c r="AA23" s="302"/>
      <c r="AB23" s="302"/>
      <c r="AC23" s="302"/>
      <c r="AD23" s="302"/>
      <c r="AE23" s="302"/>
    </row>
    <row r="24" spans="1:56">
      <c r="A24" s="13"/>
      <c r="B24" s="12"/>
      <c r="C24" s="16"/>
      <c r="D24" s="300"/>
      <c r="E24" s="301"/>
      <c r="F24" s="17" t="s">
        <v>34</v>
      </c>
      <c r="G24" s="17" t="s">
        <v>35</v>
      </c>
      <c r="H24" s="17" t="s">
        <v>36</v>
      </c>
      <c r="I24" s="17" t="s">
        <v>37</v>
      </c>
      <c r="J24" s="17" t="s">
        <v>38</v>
      </c>
      <c r="K24" s="17" t="s">
        <v>39</v>
      </c>
      <c r="L24" s="17" t="s">
        <v>34</v>
      </c>
      <c r="M24" s="17" t="s">
        <v>35</v>
      </c>
      <c r="N24" s="17" t="s">
        <v>36</v>
      </c>
      <c r="O24" s="17" t="s">
        <v>37</v>
      </c>
      <c r="P24" s="17" t="s">
        <v>38</v>
      </c>
      <c r="Q24" s="17" t="s">
        <v>39</v>
      </c>
      <c r="R24" s="305"/>
      <c r="S24" s="17" t="s">
        <v>34</v>
      </c>
      <c r="T24" s="17" t="s">
        <v>35</v>
      </c>
      <c r="U24" s="17" t="s">
        <v>36</v>
      </c>
      <c r="V24" s="17" t="s">
        <v>37</v>
      </c>
      <c r="W24" s="17" t="s">
        <v>38</v>
      </c>
      <c r="X24" s="17" t="s">
        <v>39</v>
      </c>
      <c r="Y24" s="305"/>
      <c r="Z24" s="17" t="s">
        <v>34</v>
      </c>
      <c r="AA24" s="17" t="s">
        <v>35</v>
      </c>
      <c r="AB24" s="17" t="s">
        <v>36</v>
      </c>
      <c r="AC24" s="17" t="s">
        <v>37</v>
      </c>
      <c r="AD24" s="17" t="s">
        <v>38</v>
      </c>
      <c r="AE24" s="17" t="s">
        <v>39</v>
      </c>
    </row>
    <row r="25" spans="1:56">
      <c r="A25" s="13" t="s">
        <v>68</v>
      </c>
      <c r="B25" s="13" t="s">
        <v>69</v>
      </c>
      <c r="C25" s="18" t="s">
        <v>42</v>
      </c>
      <c r="D25" s="19" t="s">
        <v>70</v>
      </c>
      <c r="E25" s="20">
        <v>9999999999</v>
      </c>
      <c r="F25" s="21">
        <v>0.12297297534246576</v>
      </c>
      <c r="G25" s="21">
        <v>4.3976021917808222E-2</v>
      </c>
      <c r="H25" s="21"/>
      <c r="I25" s="21"/>
      <c r="J25" s="21"/>
      <c r="K25" s="21"/>
      <c r="L25" s="22">
        <v>0.20997499999999999</v>
      </c>
      <c r="M25" s="22">
        <v>0.136822</v>
      </c>
      <c r="N25" s="22">
        <v>0.101483</v>
      </c>
      <c r="O25" s="22"/>
      <c r="P25" s="22"/>
      <c r="Q25" s="22"/>
      <c r="R25" s="23" t="s">
        <v>71</v>
      </c>
      <c r="S25" s="22">
        <v>0.19447500000000001</v>
      </c>
      <c r="T25" s="22">
        <v>0.121322</v>
      </c>
      <c r="U25" s="22">
        <v>8.5983000000000004E-2</v>
      </c>
      <c r="V25" s="22"/>
      <c r="W25" s="22"/>
      <c r="X25" s="22"/>
      <c r="Y25" s="23" t="s">
        <v>72</v>
      </c>
      <c r="Z25" s="22">
        <v>0.22297500000000001</v>
      </c>
      <c r="AA25" s="22">
        <v>0.14982200000000001</v>
      </c>
      <c r="AB25" s="22">
        <v>0.114483</v>
      </c>
      <c r="AC25" s="22"/>
      <c r="AD25" s="22"/>
      <c r="AE25" s="22"/>
      <c r="AF25" s="13" t="s">
        <v>73</v>
      </c>
      <c r="AG25" s="13" t="s">
        <v>74</v>
      </c>
      <c r="AH25" s="25"/>
      <c r="AI25" s="25"/>
      <c r="AJ25" s="25"/>
      <c r="AK25" s="25"/>
    </row>
    <row r="26" spans="1:56">
      <c r="A26" s="13" t="s">
        <v>75</v>
      </c>
      <c r="B26" s="13" t="s">
        <v>69</v>
      </c>
      <c r="C26" s="27" t="s">
        <v>58</v>
      </c>
      <c r="D26" s="28" t="s">
        <v>76</v>
      </c>
      <c r="E26" s="29">
        <v>9999999999</v>
      </c>
      <c r="F26" s="31">
        <v>5.792764931506849E-2</v>
      </c>
      <c r="G26" s="31">
        <v>3.1189775342465753E-2</v>
      </c>
      <c r="H26" s="31">
        <v>1.4378597260273972E-2</v>
      </c>
      <c r="I26" s="31">
        <v>1.2747912328767125E-2</v>
      </c>
      <c r="J26" s="31">
        <v>8.9877041095890401E-3</v>
      </c>
      <c r="K26" s="31">
        <v>6.0519452054794516E-3</v>
      </c>
      <c r="L26" s="32">
        <v>0.19950300000000001</v>
      </c>
      <c r="M26" s="32">
        <v>0.173924</v>
      </c>
      <c r="N26" s="32">
        <v>0.15093500000000001</v>
      </c>
      <c r="O26" s="32">
        <v>0.13724500000000001</v>
      </c>
      <c r="P26" s="32">
        <v>0.130553</v>
      </c>
      <c r="Q26" s="32">
        <v>0.12271799999999999</v>
      </c>
      <c r="R26" s="23" t="s">
        <v>77</v>
      </c>
      <c r="S26" s="32">
        <v>0.18710299999999999</v>
      </c>
      <c r="T26" s="32">
        <v>0.161524</v>
      </c>
      <c r="U26" s="32">
        <v>0.138435</v>
      </c>
      <c r="V26" s="32">
        <v>0.124746</v>
      </c>
      <c r="W26" s="32">
        <v>0.117954</v>
      </c>
      <c r="X26" s="32">
        <v>0.110318</v>
      </c>
      <c r="Y26" s="23" t="s">
        <v>78</v>
      </c>
      <c r="Z26" s="32">
        <v>0.219003</v>
      </c>
      <c r="AA26" s="32">
        <v>0.19342400000000001</v>
      </c>
      <c r="AB26" s="32">
        <v>0.170435</v>
      </c>
      <c r="AC26" s="32">
        <v>0.156745</v>
      </c>
      <c r="AD26" s="32">
        <v>0.15005299999999999</v>
      </c>
      <c r="AE26" s="32">
        <v>0.14221800000000001</v>
      </c>
      <c r="AF26" s="13" t="s">
        <v>73</v>
      </c>
      <c r="AG26" s="33" t="s">
        <v>74</v>
      </c>
      <c r="AH26" s="25"/>
      <c r="AI26" s="25"/>
      <c r="AJ26" s="25"/>
      <c r="AK26" s="25"/>
    </row>
    <row r="27" spans="1:56">
      <c r="A27" s="13" t="s">
        <v>79</v>
      </c>
      <c r="B27" s="13" t="s">
        <v>69</v>
      </c>
      <c r="C27" s="18" t="s">
        <v>63</v>
      </c>
      <c r="D27" s="19" t="s">
        <v>80</v>
      </c>
      <c r="E27" s="20">
        <v>9999999999</v>
      </c>
      <c r="F27" s="21">
        <v>8.1083210958904098E-2</v>
      </c>
      <c r="G27" s="21">
        <v>4.2506038356164379E-2</v>
      </c>
      <c r="H27" s="21">
        <v>1.8635276712328768E-2</v>
      </c>
      <c r="I27" s="21">
        <v>1.4777621917808218E-2</v>
      </c>
      <c r="J27" s="21">
        <v>5.8222356164383572E-3</v>
      </c>
      <c r="K27" s="21">
        <v>2.7511890410958904E-3</v>
      </c>
      <c r="L27" s="22">
        <v>0.17361599999999999</v>
      </c>
      <c r="M27" s="22">
        <v>0.152866</v>
      </c>
      <c r="N27" s="22">
        <v>0.13747100000000001</v>
      </c>
      <c r="O27" s="22">
        <v>0.12764500000000001</v>
      </c>
      <c r="P27" s="22">
        <v>0.12107</v>
      </c>
      <c r="Q27" s="22">
        <v>0.114693</v>
      </c>
      <c r="R27" s="23" t="s">
        <v>81</v>
      </c>
      <c r="S27" s="22">
        <v>0.16181699999999999</v>
      </c>
      <c r="T27" s="22">
        <v>0.14096600000000001</v>
      </c>
      <c r="U27" s="22">
        <v>0.12557199999999999</v>
      </c>
      <c r="V27" s="22">
        <v>0.115745</v>
      </c>
      <c r="W27" s="22">
        <v>0.109171</v>
      </c>
      <c r="X27" s="22">
        <v>0.102893</v>
      </c>
      <c r="Y27" s="23" t="s">
        <v>82</v>
      </c>
      <c r="Z27" s="22">
        <v>0.19311600000000001</v>
      </c>
      <c r="AA27" s="22">
        <v>0.17236599999999999</v>
      </c>
      <c r="AB27" s="22">
        <v>0.156971</v>
      </c>
      <c r="AC27" s="22">
        <v>0.147145</v>
      </c>
      <c r="AD27" s="22">
        <v>0.14057</v>
      </c>
      <c r="AE27" s="22">
        <v>0.13419300000000001</v>
      </c>
      <c r="AF27" s="33" t="s">
        <v>73</v>
      </c>
      <c r="AG27" s="33" t="s">
        <v>74</v>
      </c>
      <c r="AH27" s="25"/>
      <c r="AI27" s="25"/>
      <c r="AJ27" s="25"/>
      <c r="AK27" s="25"/>
    </row>
    <row r="28" spans="1:56">
      <c r="A28" s="13"/>
      <c r="B28" s="12"/>
      <c r="U28" s="41"/>
      <c r="V28" s="41"/>
      <c r="Z28" s="42"/>
      <c r="AA28" s="42"/>
      <c r="AB28" s="42"/>
      <c r="AC28" s="42"/>
      <c r="AD28" s="42"/>
      <c r="AE28" s="42"/>
    </row>
    <row r="29" spans="1:56">
      <c r="A29" s="13"/>
      <c r="B29" s="12"/>
      <c r="C29" s="14" t="s">
        <v>83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14"/>
      <c r="AA29" s="14"/>
      <c r="AB29" s="14"/>
      <c r="AC29" s="14"/>
      <c r="AD29" s="14"/>
      <c r="AE29" s="14"/>
      <c r="AF29" s="44"/>
      <c r="AG29" s="44"/>
      <c r="AH29" s="44"/>
    </row>
    <row r="30" spans="1:56">
      <c r="A30" s="13"/>
      <c r="B30" s="12"/>
      <c r="L30" s="304" t="s">
        <v>153</v>
      </c>
      <c r="M30" s="304"/>
      <c r="N30" s="304"/>
      <c r="O30" s="304"/>
      <c r="P30" s="304"/>
      <c r="Q30" s="304"/>
      <c r="R30" s="305" t="s">
        <v>84</v>
      </c>
      <c r="S30" s="304" t="s">
        <v>154</v>
      </c>
      <c r="T30" s="304"/>
      <c r="U30" s="304"/>
      <c r="V30" s="304"/>
      <c r="W30" s="304"/>
      <c r="X30" s="304"/>
      <c r="Y30" s="305" t="s">
        <v>31</v>
      </c>
      <c r="Z30" s="304" t="s">
        <v>155</v>
      </c>
      <c r="AA30" s="304"/>
      <c r="AB30" s="304"/>
      <c r="AC30" s="304"/>
      <c r="AD30" s="304"/>
      <c r="AE30" s="304"/>
      <c r="AF30" s="44"/>
    </row>
    <row r="31" spans="1:56">
      <c r="A31" s="13"/>
      <c r="B31" s="12"/>
      <c r="C31" s="301"/>
      <c r="D31" s="45"/>
      <c r="E31" s="301" t="s">
        <v>32</v>
      </c>
      <c r="F31" s="302" t="s">
        <v>33</v>
      </c>
      <c r="G31" s="302"/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5"/>
      <c r="S31" s="302"/>
      <c r="T31" s="302"/>
      <c r="U31" s="302"/>
      <c r="V31" s="302"/>
      <c r="W31" s="302"/>
      <c r="X31" s="302"/>
      <c r="Y31" s="305"/>
      <c r="Z31" s="302"/>
      <c r="AA31" s="302"/>
      <c r="AB31" s="302"/>
      <c r="AC31" s="302"/>
      <c r="AD31" s="302"/>
      <c r="AE31" s="302"/>
      <c r="AF31" s="44"/>
    </row>
    <row r="32" spans="1:56">
      <c r="A32" s="13"/>
      <c r="B32" s="12"/>
      <c r="C32" s="301"/>
      <c r="D32" s="45"/>
      <c r="E32" s="301"/>
      <c r="F32" s="17" t="s">
        <v>34</v>
      </c>
      <c r="G32" s="17" t="s">
        <v>35</v>
      </c>
      <c r="H32" s="17" t="s">
        <v>36</v>
      </c>
      <c r="I32" s="17" t="s">
        <v>37</v>
      </c>
      <c r="J32" s="17" t="s">
        <v>38</v>
      </c>
      <c r="K32" s="17" t="s">
        <v>39</v>
      </c>
      <c r="L32" s="17" t="s">
        <v>34</v>
      </c>
      <c r="M32" s="17" t="s">
        <v>35</v>
      </c>
      <c r="N32" s="17" t="s">
        <v>36</v>
      </c>
      <c r="O32" s="17" t="s">
        <v>37</v>
      </c>
      <c r="P32" s="17" t="s">
        <v>38</v>
      </c>
      <c r="Q32" s="17" t="s">
        <v>39</v>
      </c>
      <c r="R32" s="305"/>
      <c r="S32" s="17" t="s">
        <v>34</v>
      </c>
      <c r="T32" s="17" t="s">
        <v>35</v>
      </c>
      <c r="U32" s="17" t="s">
        <v>36</v>
      </c>
      <c r="V32" s="17" t="s">
        <v>37</v>
      </c>
      <c r="W32" s="17" t="s">
        <v>38</v>
      </c>
      <c r="X32" s="17" t="s">
        <v>39</v>
      </c>
      <c r="Y32" s="305"/>
      <c r="Z32" s="17" t="s">
        <v>34</v>
      </c>
      <c r="AA32" s="17" t="s">
        <v>35</v>
      </c>
      <c r="AB32" s="17" t="s">
        <v>36</v>
      </c>
      <c r="AC32" s="17" t="s">
        <v>37</v>
      </c>
      <c r="AD32" s="17" t="s">
        <v>38</v>
      </c>
      <c r="AE32" s="17" t="s">
        <v>39</v>
      </c>
      <c r="AF32" s="44"/>
    </row>
    <row r="33" spans="1:32">
      <c r="A33" s="13" t="s">
        <v>42</v>
      </c>
      <c r="B33" s="13">
        <v>42053</v>
      </c>
      <c r="C33" s="18" t="s">
        <v>85</v>
      </c>
      <c r="D33" s="19" t="s">
        <v>86</v>
      </c>
      <c r="E33" s="46">
        <v>9999999999</v>
      </c>
      <c r="F33" s="21">
        <v>7.9327161643835617E-2</v>
      </c>
      <c r="G33" s="21">
        <v>5.412120547945206E-3</v>
      </c>
      <c r="H33" s="21" t="s">
        <v>44</v>
      </c>
      <c r="I33" s="21" t="s">
        <v>44</v>
      </c>
      <c r="J33" s="21" t="s">
        <v>44</v>
      </c>
      <c r="K33" s="21" t="s">
        <v>44</v>
      </c>
      <c r="L33" s="22">
        <v>0.25886599999999999</v>
      </c>
      <c r="M33" s="22">
        <v>0.18379899999999999</v>
      </c>
      <c r="N33" s="22">
        <v>0.13918700000000001</v>
      </c>
      <c r="O33" s="22" t="s">
        <v>44</v>
      </c>
      <c r="P33" s="22" t="s">
        <v>44</v>
      </c>
      <c r="Q33" s="22" t="s">
        <v>44</v>
      </c>
      <c r="R33" s="47"/>
      <c r="S33" s="22">
        <v>0.24336599999999997</v>
      </c>
      <c r="T33" s="22">
        <v>0.16829899999999998</v>
      </c>
      <c r="U33" s="22">
        <v>0.12368700000000001</v>
      </c>
      <c r="V33" s="22" t="s">
        <v>44</v>
      </c>
      <c r="W33" s="22" t="s">
        <v>44</v>
      </c>
      <c r="X33" s="22" t="s">
        <v>44</v>
      </c>
      <c r="Y33" s="306">
        <v>-6</v>
      </c>
      <c r="Z33" s="22">
        <v>0.26486599999999999</v>
      </c>
      <c r="AA33" s="22">
        <v>0.189799</v>
      </c>
      <c r="AB33" s="22">
        <v>0.14518700000000001</v>
      </c>
      <c r="AC33" s="22" t="s">
        <v>44</v>
      </c>
      <c r="AD33" s="22" t="s">
        <v>44</v>
      </c>
      <c r="AE33" s="22" t="s">
        <v>44</v>
      </c>
      <c r="AF33" s="44"/>
    </row>
    <row r="34" spans="1:32">
      <c r="A34" s="13" t="s">
        <v>58</v>
      </c>
      <c r="B34" s="48">
        <v>42055</v>
      </c>
      <c r="C34" s="27" t="s">
        <v>87</v>
      </c>
      <c r="D34" s="28" t="s">
        <v>88</v>
      </c>
      <c r="E34" s="49">
        <v>9999999999</v>
      </c>
      <c r="F34" s="31">
        <v>5.6283827397260268E-2</v>
      </c>
      <c r="G34" s="31">
        <v>2.9545994520547944E-2</v>
      </c>
      <c r="H34" s="31">
        <v>1.2734797260273973E-2</v>
      </c>
      <c r="I34" s="31">
        <v>1.1104109589041096E-2</v>
      </c>
      <c r="J34" s="31">
        <v>7.3438849315068501E-3</v>
      </c>
      <c r="K34" s="31">
        <v>4.4081041095890413E-3</v>
      </c>
      <c r="L34" s="32">
        <v>0.22289800000000001</v>
      </c>
      <c r="M34" s="32">
        <v>0.19676099999999999</v>
      </c>
      <c r="N34" s="32" t="s">
        <v>44</v>
      </c>
      <c r="O34" s="32" t="s">
        <v>44</v>
      </c>
      <c r="P34" s="32" t="s">
        <v>44</v>
      </c>
      <c r="Q34" s="32">
        <v>0.141847</v>
      </c>
      <c r="R34" s="47"/>
      <c r="S34" s="32">
        <v>0.20739800000000003</v>
      </c>
      <c r="T34" s="32">
        <v>0.18126100000000001</v>
      </c>
      <c r="U34" s="32" t="s">
        <v>44</v>
      </c>
      <c r="V34" s="32" t="s">
        <v>44</v>
      </c>
      <c r="W34" s="32" t="s">
        <v>44</v>
      </c>
      <c r="X34" s="32">
        <v>0.12634699999999999</v>
      </c>
      <c r="Y34" s="306"/>
      <c r="Z34" s="32">
        <v>0.22889800000000002</v>
      </c>
      <c r="AA34" s="32">
        <v>0.202761</v>
      </c>
      <c r="AB34" s="32" t="s">
        <v>44</v>
      </c>
      <c r="AC34" s="32" t="s">
        <v>44</v>
      </c>
      <c r="AD34" s="32" t="s">
        <v>44</v>
      </c>
      <c r="AE34" s="32">
        <v>0.14784700000000001</v>
      </c>
      <c r="AF34" s="44"/>
    </row>
    <row r="35" spans="1:32">
      <c r="A35" s="13" t="s">
        <v>63</v>
      </c>
      <c r="B35" s="13">
        <v>42057</v>
      </c>
      <c r="C35" s="18" t="s">
        <v>89</v>
      </c>
      <c r="D35" s="19" t="s">
        <v>90</v>
      </c>
      <c r="E35" s="46">
        <v>9999999999</v>
      </c>
      <c r="F35" s="21">
        <v>8.1083200000000008E-2</v>
      </c>
      <c r="G35" s="21">
        <v>4.2506052054794519E-2</v>
      </c>
      <c r="H35" s="21">
        <v>1.8635290410958905E-2</v>
      </c>
      <c r="I35" s="21">
        <v>1.4777613698630138E-2</v>
      </c>
      <c r="J35" s="21">
        <v>5.8222273972602734E-3</v>
      </c>
      <c r="K35" s="21">
        <v>2.7511808219178083E-3</v>
      </c>
      <c r="L35" s="22">
        <v>0.19491700000000001</v>
      </c>
      <c r="M35" s="22">
        <v>0.17274300000000001</v>
      </c>
      <c r="N35" s="22" t="s">
        <v>44</v>
      </c>
      <c r="O35" s="22" t="s">
        <v>44</v>
      </c>
      <c r="P35" s="22" t="s">
        <v>44</v>
      </c>
      <c r="Q35" s="22">
        <v>0.13098499999999999</v>
      </c>
      <c r="R35" s="47"/>
      <c r="S35" s="22">
        <v>0.17941699999999999</v>
      </c>
      <c r="T35" s="22">
        <v>0.15724300000000002</v>
      </c>
      <c r="U35" s="22" t="s">
        <v>44</v>
      </c>
      <c r="V35" s="22" t="s">
        <v>44</v>
      </c>
      <c r="W35" s="22" t="s">
        <v>44</v>
      </c>
      <c r="X35" s="22">
        <v>0.11548499999999999</v>
      </c>
      <c r="Y35" s="306"/>
      <c r="Z35" s="22">
        <v>0.20091700000000001</v>
      </c>
      <c r="AA35" s="22">
        <v>0.17874300000000001</v>
      </c>
      <c r="AB35" s="22" t="s">
        <v>44</v>
      </c>
      <c r="AC35" s="22" t="s">
        <v>44</v>
      </c>
      <c r="AD35" s="22" t="s">
        <v>44</v>
      </c>
      <c r="AE35" s="22">
        <v>0.136985</v>
      </c>
      <c r="AF35" s="44"/>
    </row>
    <row r="36" spans="1:32">
      <c r="A36" s="13"/>
      <c r="B36" s="12"/>
      <c r="M36" s="7"/>
      <c r="N36" s="7"/>
      <c r="O36" s="7"/>
      <c r="P36" s="7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2" outlineLevel="1">
      <c r="A37" s="11"/>
      <c r="M37" s="26"/>
      <c r="N37" s="26"/>
      <c r="O37" s="26"/>
      <c r="S37" s="26"/>
      <c r="Z37" s="26"/>
      <c r="AA37" s="26"/>
      <c r="AB37" s="26"/>
      <c r="AC37" s="26"/>
      <c r="AD37" s="26"/>
      <c r="AE37" s="26"/>
      <c r="AF37" s="44"/>
    </row>
    <row r="38" spans="1:32" outlineLevel="1">
      <c r="A38" s="13"/>
      <c r="B38" s="12"/>
      <c r="C38" s="307" t="s">
        <v>91</v>
      </c>
      <c r="D38" s="307"/>
      <c r="E38" s="307"/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50"/>
      <c r="S38" s="50"/>
      <c r="T38" s="51"/>
      <c r="U38" s="41"/>
      <c r="V38" s="41"/>
      <c r="W38" s="51"/>
      <c r="X38" s="51"/>
      <c r="Y38" s="51"/>
      <c r="Z38" s="26"/>
      <c r="AA38" s="26"/>
      <c r="AB38" s="26"/>
      <c r="AC38" s="26"/>
      <c r="AD38" s="26"/>
      <c r="AE38" s="26"/>
      <c r="AF38" s="52"/>
    </row>
    <row r="39" spans="1:32" outlineLevel="1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50"/>
      <c r="S39" s="50"/>
      <c r="T39" s="41"/>
      <c r="U39" s="41"/>
      <c r="V39" s="51"/>
      <c r="W39" s="51"/>
      <c r="X39" s="51"/>
      <c r="Y39" s="51"/>
      <c r="Z39" s="26"/>
      <c r="AA39" s="26"/>
      <c r="AB39" s="26"/>
      <c r="AC39" s="26"/>
      <c r="AD39" s="26"/>
      <c r="AE39" s="26"/>
      <c r="AF39" s="52"/>
    </row>
    <row r="40" spans="1:32" outlineLevel="1">
      <c r="A40" s="13"/>
      <c r="B40" s="12"/>
      <c r="C40" s="301"/>
      <c r="D40" s="45"/>
      <c r="E40" s="301" t="s">
        <v>32</v>
      </c>
      <c r="F40" s="302" t="s">
        <v>33</v>
      </c>
      <c r="G40" s="302"/>
      <c r="H40" s="302"/>
      <c r="I40" s="302"/>
      <c r="J40" s="302"/>
      <c r="K40" s="302"/>
      <c r="L40" s="302" t="s">
        <v>92</v>
      </c>
      <c r="M40" s="302"/>
      <c r="N40" s="302"/>
      <c r="O40" s="302"/>
      <c r="P40" s="302"/>
      <c r="Q40" s="302"/>
      <c r="R40" s="51"/>
      <c r="S40" s="51"/>
      <c r="T40" s="41"/>
      <c r="U40" s="41"/>
      <c r="V40" s="51"/>
      <c r="W40" s="51"/>
      <c r="X40" s="51"/>
      <c r="Y40" s="51"/>
      <c r="Z40" s="51"/>
      <c r="AA40" s="51"/>
      <c r="AB40" s="51"/>
      <c r="AC40" s="51"/>
      <c r="AD40" s="44"/>
      <c r="AE40" s="52"/>
      <c r="AF40" s="52"/>
    </row>
    <row r="41" spans="1:32" outlineLevel="1">
      <c r="A41" s="13"/>
      <c r="B41" s="12"/>
      <c r="C41" s="301"/>
      <c r="D41" s="45"/>
      <c r="E41" s="301"/>
      <c r="F41" s="17" t="s">
        <v>34</v>
      </c>
      <c r="G41" s="17" t="s">
        <v>35</v>
      </c>
      <c r="H41" s="17" t="s">
        <v>36</v>
      </c>
      <c r="I41" s="17" t="s">
        <v>37</v>
      </c>
      <c r="J41" s="17" t="s">
        <v>38</v>
      </c>
      <c r="K41" s="17" t="s">
        <v>39</v>
      </c>
      <c r="L41" s="17" t="s">
        <v>34</v>
      </c>
      <c r="M41" s="17" t="s">
        <v>35</v>
      </c>
      <c r="N41" s="17" t="s">
        <v>36</v>
      </c>
      <c r="O41" s="17" t="s">
        <v>37</v>
      </c>
      <c r="P41" s="17" t="s">
        <v>38</v>
      </c>
      <c r="Q41" s="17" t="s">
        <v>39</v>
      </c>
      <c r="R41" s="51"/>
      <c r="S41" s="53"/>
      <c r="T41" s="53"/>
      <c r="U41" s="53"/>
      <c r="V41" s="51"/>
      <c r="W41" s="51"/>
      <c r="X41" s="51"/>
      <c r="Y41" s="51"/>
      <c r="Z41" s="51"/>
      <c r="AA41" s="51"/>
      <c r="AB41" s="51"/>
      <c r="AC41" s="51"/>
      <c r="AD41" s="44"/>
      <c r="AE41" s="52"/>
      <c r="AF41" s="52"/>
    </row>
    <row r="42" spans="1:32" outlineLevel="1">
      <c r="A42" s="13" t="s">
        <v>93</v>
      </c>
      <c r="B42" s="54">
        <v>42009</v>
      </c>
      <c r="C42" s="55" t="s">
        <v>85</v>
      </c>
      <c r="D42" s="56" t="s">
        <v>94</v>
      </c>
      <c r="E42" s="57">
        <v>9999999999</v>
      </c>
      <c r="F42" s="58" t="e">
        <v>#N/A</v>
      </c>
      <c r="G42" s="58" t="e">
        <v>#N/A</v>
      </c>
      <c r="H42" s="58" t="e">
        <v>#N/A</v>
      </c>
      <c r="I42" s="58" t="e">
        <v>#N/A</v>
      </c>
      <c r="J42" s="58" t="e">
        <v>#N/A</v>
      </c>
      <c r="K42" s="58" t="e">
        <v>#N/A</v>
      </c>
      <c r="L42" s="59" t="e">
        <v>#N/A</v>
      </c>
      <c r="M42" s="59" t="e">
        <v>#N/A</v>
      </c>
      <c r="N42" s="59" t="e">
        <v>#N/A</v>
      </c>
      <c r="O42" s="59" t="e">
        <v>#N/A</v>
      </c>
      <c r="P42" s="59" t="e">
        <v>#N/A</v>
      </c>
      <c r="Q42" s="59" t="e">
        <v>#N/A</v>
      </c>
      <c r="R42" s="51"/>
      <c r="S42" s="60"/>
      <c r="T42" s="60"/>
      <c r="U42" s="60"/>
      <c r="V42" s="60"/>
      <c r="W42" s="60"/>
      <c r="X42" s="60"/>
      <c r="Y42" s="51"/>
      <c r="Z42" s="60"/>
      <c r="AA42" s="60"/>
      <c r="AB42" s="60"/>
      <c r="AC42" s="60"/>
      <c r="AD42" s="60"/>
      <c r="AE42" s="60"/>
      <c r="AF42" s="52"/>
    </row>
    <row r="43" spans="1:32" outlineLevel="1">
      <c r="A43" s="13" t="s">
        <v>95</v>
      </c>
      <c r="B43" s="54">
        <v>42023</v>
      </c>
      <c r="C43" s="61" t="s">
        <v>96</v>
      </c>
      <c r="D43" s="62" t="s">
        <v>97</v>
      </c>
      <c r="E43" s="63">
        <v>9999999999</v>
      </c>
      <c r="F43" s="64" t="e">
        <v>#N/A</v>
      </c>
      <c r="G43" s="64" t="e">
        <v>#N/A</v>
      </c>
      <c r="H43" s="64" t="e">
        <v>#N/A</v>
      </c>
      <c r="I43" s="64" t="e">
        <v>#N/A</v>
      </c>
      <c r="J43" s="64" t="e">
        <v>#N/A</v>
      </c>
      <c r="K43" s="64" t="e">
        <v>#N/A</v>
      </c>
      <c r="L43" s="65" t="e">
        <v>#N/A</v>
      </c>
      <c r="M43" s="65" t="e">
        <v>#N/A</v>
      </c>
      <c r="N43" s="65" t="e">
        <v>#N/A</v>
      </c>
      <c r="O43" s="65" t="e">
        <v>#N/A</v>
      </c>
      <c r="P43" s="65" t="e">
        <v>#N/A</v>
      </c>
      <c r="Q43" s="65" t="e">
        <v>#N/A</v>
      </c>
      <c r="R43" s="51"/>
      <c r="S43" s="60"/>
      <c r="T43" s="60"/>
      <c r="U43" s="60"/>
      <c r="V43" s="60"/>
      <c r="W43" s="60"/>
      <c r="X43" s="60"/>
      <c r="Y43" s="51"/>
      <c r="Z43" s="60"/>
      <c r="AA43" s="60"/>
      <c r="AB43" s="60"/>
      <c r="AC43" s="60"/>
      <c r="AD43" s="60"/>
      <c r="AE43" s="60"/>
      <c r="AF43" s="52"/>
    </row>
    <row r="44" spans="1:32" outlineLevel="1">
      <c r="A44" s="13" t="s">
        <v>98</v>
      </c>
      <c r="B44" s="54">
        <v>42038</v>
      </c>
      <c r="C44" s="55" t="s">
        <v>87</v>
      </c>
      <c r="D44" s="56" t="s">
        <v>99</v>
      </c>
      <c r="E44" s="57">
        <v>9999999999</v>
      </c>
      <c r="F44" s="58" t="e">
        <v>#N/A</v>
      </c>
      <c r="G44" s="58" t="e">
        <v>#N/A</v>
      </c>
      <c r="H44" s="58" t="e">
        <v>#N/A</v>
      </c>
      <c r="I44" s="58" t="e">
        <v>#N/A</v>
      </c>
      <c r="J44" s="58" t="e">
        <v>#N/A</v>
      </c>
      <c r="K44" s="58" t="e">
        <v>#N/A</v>
      </c>
      <c r="L44" s="59" t="e">
        <v>#N/A</v>
      </c>
      <c r="M44" s="59" t="e">
        <v>#N/A</v>
      </c>
      <c r="N44" s="59" t="e">
        <v>#N/A</v>
      </c>
      <c r="O44" s="59" t="e">
        <v>#N/A</v>
      </c>
      <c r="P44" s="59" t="e">
        <v>#N/A</v>
      </c>
      <c r="Q44" s="59" t="e">
        <v>#N/A</v>
      </c>
      <c r="R44" s="51"/>
      <c r="S44" s="60"/>
      <c r="T44" s="60"/>
      <c r="U44" s="60"/>
      <c r="V44" s="60"/>
      <c r="W44" s="60"/>
      <c r="X44" s="60"/>
      <c r="Y44" s="51"/>
      <c r="Z44" s="60"/>
      <c r="AA44" s="60"/>
      <c r="AB44" s="60"/>
      <c r="AC44" s="60"/>
      <c r="AD44" s="60"/>
      <c r="AE44" s="60"/>
      <c r="AF44" s="52"/>
    </row>
    <row r="45" spans="1:32" outlineLevel="1">
      <c r="A45" s="13" t="s">
        <v>100</v>
      </c>
      <c r="B45" s="54">
        <v>42050</v>
      </c>
      <c r="C45" s="61" t="s">
        <v>89</v>
      </c>
      <c r="D45" s="62" t="s">
        <v>101</v>
      </c>
      <c r="E45" s="63">
        <v>9999999999</v>
      </c>
      <c r="F45" s="64" t="e">
        <v>#N/A</v>
      </c>
      <c r="G45" s="64" t="e">
        <v>#N/A</v>
      </c>
      <c r="H45" s="64" t="e">
        <v>#N/A</v>
      </c>
      <c r="I45" s="64" t="e">
        <v>#N/A</v>
      </c>
      <c r="J45" s="64" t="e">
        <v>#N/A</v>
      </c>
      <c r="K45" s="64" t="e">
        <v>#N/A</v>
      </c>
      <c r="L45" s="65" t="e">
        <v>#N/A</v>
      </c>
      <c r="M45" s="65" t="e">
        <v>#N/A</v>
      </c>
      <c r="N45" s="65" t="e">
        <v>#N/A</v>
      </c>
      <c r="O45" s="65" t="e">
        <v>#N/A</v>
      </c>
      <c r="P45" s="65" t="e">
        <v>#N/A</v>
      </c>
      <c r="Q45" s="65" t="e">
        <v>#N/A</v>
      </c>
      <c r="R45" s="51"/>
      <c r="S45" s="60"/>
      <c r="T45" s="60"/>
      <c r="U45" s="60"/>
      <c r="V45" s="60"/>
      <c r="W45" s="60"/>
      <c r="X45" s="60"/>
      <c r="Y45" s="51"/>
      <c r="Z45" s="60"/>
      <c r="AA45" s="60"/>
      <c r="AB45" s="60"/>
      <c r="AC45" s="60"/>
      <c r="AD45" s="60"/>
      <c r="AE45" s="60"/>
      <c r="AF45" s="52"/>
    </row>
    <row r="46" spans="1:32" outlineLevel="1">
      <c r="A46" s="11"/>
      <c r="AE46" s="52"/>
      <c r="AF46" s="52"/>
    </row>
    <row r="47" spans="1:32">
      <c r="A47" s="11"/>
      <c r="AE47" s="52"/>
      <c r="AF47" s="52"/>
    </row>
    <row r="48" spans="1:32">
      <c r="A48" s="11"/>
      <c r="B48" s="311" t="s">
        <v>102</v>
      </c>
      <c r="C48" s="311"/>
      <c r="D48" s="311"/>
      <c r="E48" s="311"/>
      <c r="F48" s="311"/>
      <c r="G48" s="311"/>
      <c r="H48" s="311"/>
      <c r="I48" s="311"/>
      <c r="J48" s="311"/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  <c r="X48" s="311"/>
      <c r="Y48" s="311"/>
      <c r="Z48" s="311"/>
      <c r="AA48" s="311"/>
      <c r="AB48" s="311"/>
      <c r="AC48" s="311"/>
      <c r="AD48" s="311"/>
      <c r="AE48" s="311"/>
    </row>
    <row r="49" spans="1:32">
      <c r="A49" s="11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52"/>
      <c r="U49" s="52"/>
      <c r="V49" s="52"/>
      <c r="W49" s="52"/>
      <c r="X49" s="39"/>
      <c r="Y49" s="39"/>
    </row>
    <row r="50" spans="1:32">
      <c r="A50" s="11"/>
      <c r="B50" s="67"/>
      <c r="C50" s="312" t="s">
        <v>103</v>
      </c>
      <c r="D50" s="312"/>
      <c r="E50" s="312"/>
      <c r="F50" s="312"/>
      <c r="G50" s="313" t="s">
        <v>156</v>
      </c>
      <c r="H50" s="314"/>
      <c r="I50" s="313" t="s">
        <v>104</v>
      </c>
      <c r="J50" s="314"/>
      <c r="K50" s="313" t="s">
        <v>157</v>
      </c>
      <c r="L50" s="314"/>
      <c r="R50" s="68"/>
      <c r="S50" s="68"/>
      <c r="AE50" s="52"/>
      <c r="AF50" s="52"/>
    </row>
    <row r="51" spans="1:32">
      <c r="A51" s="11"/>
      <c r="B51" s="69"/>
      <c r="C51" s="312"/>
      <c r="D51" s="312"/>
      <c r="E51" s="312"/>
      <c r="F51" s="312"/>
      <c r="G51" s="315"/>
      <c r="H51" s="316"/>
      <c r="I51" s="315"/>
      <c r="J51" s="316"/>
      <c r="K51" s="315"/>
      <c r="L51" s="316"/>
      <c r="R51" s="68"/>
    </row>
    <row r="52" spans="1:32">
      <c r="A52" s="11"/>
      <c r="B52" s="69"/>
      <c r="C52" s="35"/>
      <c r="D52" s="35"/>
      <c r="E52" s="35"/>
      <c r="F52" s="35"/>
      <c r="G52" s="308" t="s">
        <v>105</v>
      </c>
      <c r="H52" s="70" t="s">
        <v>29</v>
      </c>
      <c r="I52" s="308" t="s">
        <v>106</v>
      </c>
      <c r="J52" s="71"/>
      <c r="K52" s="308" t="s">
        <v>107</v>
      </c>
      <c r="L52" s="71"/>
      <c r="Q52" s="8"/>
    </row>
    <row r="53" spans="1:32" ht="25.5">
      <c r="A53" s="11"/>
      <c r="B53" s="69"/>
      <c r="C53" s="35"/>
      <c r="D53" s="35"/>
      <c r="E53" s="309" t="s">
        <v>32</v>
      </c>
      <c r="F53" s="304" t="s">
        <v>108</v>
      </c>
      <c r="G53" s="308"/>
      <c r="H53" s="72" t="s">
        <v>109</v>
      </c>
      <c r="I53" s="308"/>
      <c r="J53" s="72" t="s">
        <v>109</v>
      </c>
      <c r="K53" s="308"/>
      <c r="L53" s="72" t="s">
        <v>109</v>
      </c>
      <c r="Q53" s="8"/>
    </row>
    <row r="54" spans="1:32">
      <c r="A54" s="11"/>
      <c r="B54" s="69"/>
      <c r="C54" s="69"/>
      <c r="D54" s="69"/>
      <c r="E54" s="309"/>
      <c r="F54" s="310"/>
      <c r="G54" s="308"/>
      <c r="H54" s="73"/>
      <c r="I54" s="308"/>
      <c r="J54" s="74"/>
      <c r="K54" s="308"/>
      <c r="L54" s="74"/>
      <c r="Q54" s="8"/>
    </row>
    <row r="55" spans="1:32">
      <c r="A55" s="13" t="s">
        <v>110</v>
      </c>
      <c r="B55" s="75" t="s">
        <v>111</v>
      </c>
      <c r="C55" s="76" t="s">
        <v>112</v>
      </c>
      <c r="D55" s="77" t="s">
        <v>113</v>
      </c>
      <c r="E55" s="78">
        <v>5000</v>
      </c>
      <c r="F55" s="79">
        <v>8.0382092712328768E-2</v>
      </c>
      <c r="G55" s="318">
        <v>0</v>
      </c>
      <c r="H55" s="80">
        <v>5.6145E-2</v>
      </c>
      <c r="I55" s="318">
        <v>3</v>
      </c>
      <c r="J55" s="81">
        <v>5.3144999999999998E-2</v>
      </c>
      <c r="K55" s="318">
        <v>8</v>
      </c>
      <c r="L55" s="81">
        <v>4.8145E-2</v>
      </c>
      <c r="Q55" s="8"/>
    </row>
    <row r="56" spans="1:32">
      <c r="A56" s="13" t="s">
        <v>114</v>
      </c>
      <c r="B56" s="75" t="s">
        <v>111</v>
      </c>
      <c r="C56" s="82" t="s">
        <v>115</v>
      </c>
      <c r="D56" s="83" t="s">
        <v>113</v>
      </c>
      <c r="E56" s="84">
        <v>15000</v>
      </c>
      <c r="F56" s="85">
        <v>0.21185582991780824</v>
      </c>
      <c r="G56" s="319"/>
      <c r="H56" s="86">
        <v>5.4045999999999997E-2</v>
      </c>
      <c r="I56" s="319"/>
      <c r="J56" s="86">
        <v>5.1045999999999994E-2</v>
      </c>
      <c r="K56" s="319"/>
      <c r="L56" s="86">
        <v>4.6045999999999997E-2</v>
      </c>
      <c r="Q56" s="8"/>
    </row>
    <row r="57" spans="1:32">
      <c r="A57" s="13" t="s">
        <v>116</v>
      </c>
      <c r="B57" s="75" t="s">
        <v>111</v>
      </c>
      <c r="C57" s="76" t="s">
        <v>117</v>
      </c>
      <c r="D57" s="77" t="s">
        <v>113</v>
      </c>
      <c r="E57" s="78">
        <v>50000</v>
      </c>
      <c r="F57" s="79">
        <v>0.56067563769863016</v>
      </c>
      <c r="G57" s="319"/>
      <c r="H57" s="87">
        <v>5.0605999999999998E-2</v>
      </c>
      <c r="I57" s="319"/>
      <c r="J57" s="87">
        <v>4.7605999999999996E-2</v>
      </c>
      <c r="K57" s="319"/>
      <c r="L57" s="87">
        <v>4.2605999999999998E-2</v>
      </c>
      <c r="Q57" s="8"/>
    </row>
    <row r="58" spans="1:32">
      <c r="A58" s="13" t="s">
        <v>118</v>
      </c>
      <c r="B58" s="75" t="s">
        <v>111</v>
      </c>
      <c r="C58" s="82" t="s">
        <v>119</v>
      </c>
      <c r="D58" s="83" t="s">
        <v>113</v>
      </c>
      <c r="E58" s="84">
        <v>300000</v>
      </c>
      <c r="F58" s="85">
        <v>1.3686556132602741</v>
      </c>
      <c r="G58" s="319"/>
      <c r="H58" s="86">
        <v>5.4690000000000003E-2</v>
      </c>
      <c r="I58" s="319"/>
      <c r="J58" s="86">
        <v>5.169E-2</v>
      </c>
      <c r="K58" s="319"/>
      <c r="L58" s="86">
        <v>4.6690000000000002E-2</v>
      </c>
      <c r="Q58" s="8"/>
    </row>
    <row r="59" spans="1:32">
      <c r="A59" s="13" t="s">
        <v>120</v>
      </c>
      <c r="B59" s="75" t="s">
        <v>111</v>
      </c>
      <c r="C59" s="76" t="s">
        <v>121</v>
      </c>
      <c r="D59" s="77" t="s">
        <v>113</v>
      </c>
      <c r="E59" s="78">
        <v>1500000</v>
      </c>
      <c r="F59" s="79">
        <v>7.6385029153972601</v>
      </c>
      <c r="G59" s="320"/>
      <c r="H59" s="88">
        <v>5.4627000000000002E-2</v>
      </c>
      <c r="I59" s="320"/>
      <c r="J59" s="88">
        <v>5.1626999999999999E-2</v>
      </c>
      <c r="K59" s="320"/>
      <c r="L59" s="88">
        <v>4.6627000000000002E-2</v>
      </c>
      <c r="Q59" s="8"/>
    </row>
    <row r="60" spans="1:32">
      <c r="A60" s="11"/>
      <c r="B60" s="89"/>
      <c r="C60" s="31"/>
      <c r="D60" s="90"/>
      <c r="E60" s="90"/>
      <c r="F60" s="91"/>
      <c r="G60" s="92"/>
      <c r="H60" s="92"/>
      <c r="I60" s="92"/>
      <c r="J60" s="92"/>
      <c r="K60" s="92"/>
      <c r="Q60" s="8"/>
    </row>
    <row r="61" spans="1:32">
      <c r="A61" s="11"/>
      <c r="B61" s="12"/>
      <c r="C61" s="312" t="s">
        <v>122</v>
      </c>
      <c r="D61" s="312"/>
      <c r="E61" s="312"/>
      <c r="F61" s="312"/>
      <c r="G61" s="313" t="s">
        <v>123</v>
      </c>
      <c r="H61" s="314"/>
      <c r="I61" s="313" t="s">
        <v>158</v>
      </c>
      <c r="J61" s="314"/>
      <c r="K61" s="321"/>
      <c r="L61" s="321"/>
      <c r="M61" s="93"/>
      <c r="N61" s="94"/>
      <c r="O61" s="94"/>
      <c r="AE61" s="52"/>
      <c r="AF61" s="52"/>
    </row>
    <row r="62" spans="1:32">
      <c r="A62" s="11"/>
      <c r="B62" s="53"/>
      <c r="C62" s="312"/>
      <c r="D62" s="312"/>
      <c r="E62" s="312"/>
      <c r="F62" s="312"/>
      <c r="G62" s="315"/>
      <c r="H62" s="316"/>
      <c r="I62" s="315"/>
      <c r="J62" s="316"/>
      <c r="K62" s="321"/>
      <c r="L62" s="321"/>
      <c r="M62" s="93"/>
      <c r="N62" s="94"/>
      <c r="O62" s="94"/>
      <c r="AE62" s="52"/>
      <c r="AF62" s="52"/>
    </row>
    <row r="63" spans="1:32">
      <c r="A63" s="11"/>
      <c r="B63" s="53"/>
      <c r="C63" s="51"/>
      <c r="D63" s="51"/>
      <c r="E63" s="51"/>
      <c r="F63" s="51"/>
      <c r="G63" s="322" t="s">
        <v>124</v>
      </c>
      <c r="H63" s="70" t="s">
        <v>27</v>
      </c>
      <c r="I63" s="322" t="s">
        <v>125</v>
      </c>
      <c r="J63" s="70" t="s">
        <v>29</v>
      </c>
      <c r="K63" s="321"/>
      <c r="L63" s="95"/>
      <c r="M63" s="93"/>
      <c r="N63" s="94"/>
      <c r="O63" s="94"/>
      <c r="AE63" s="52"/>
      <c r="AF63" s="52"/>
    </row>
    <row r="64" spans="1:32" ht="25.5">
      <c r="A64" s="11"/>
      <c r="B64" s="53"/>
      <c r="C64" s="51"/>
      <c r="D64" s="51"/>
      <c r="E64" s="309" t="s">
        <v>32</v>
      </c>
      <c r="F64" s="304" t="s">
        <v>108</v>
      </c>
      <c r="G64" s="322"/>
      <c r="H64" s="72" t="s">
        <v>109</v>
      </c>
      <c r="I64" s="322"/>
      <c r="J64" s="72" t="s">
        <v>109</v>
      </c>
      <c r="K64" s="321"/>
      <c r="L64" s="317"/>
      <c r="M64" s="93"/>
      <c r="N64" s="94"/>
      <c r="O64" s="94"/>
      <c r="AE64" s="52"/>
      <c r="AF64" s="52"/>
    </row>
    <row r="65" spans="1:32">
      <c r="A65" s="11"/>
      <c r="B65" s="53"/>
      <c r="C65" s="53"/>
      <c r="D65" s="53"/>
      <c r="E65" s="309"/>
      <c r="F65" s="310"/>
      <c r="G65" s="322"/>
      <c r="H65" s="72"/>
      <c r="I65" s="322"/>
      <c r="J65" s="96"/>
      <c r="K65" s="321"/>
      <c r="L65" s="317"/>
      <c r="M65" s="93"/>
      <c r="N65" s="94"/>
      <c r="O65" s="94"/>
      <c r="AE65" s="52"/>
      <c r="AF65" s="52"/>
    </row>
    <row r="66" spans="1:32">
      <c r="A66" s="13" t="s">
        <v>126</v>
      </c>
      <c r="B66" s="75" t="s">
        <v>127</v>
      </c>
      <c r="C66" s="97" t="s">
        <v>112</v>
      </c>
      <c r="D66" s="98" t="s">
        <v>123</v>
      </c>
      <c r="E66" s="78">
        <v>5000</v>
      </c>
      <c r="F66" s="99">
        <v>8.0382092712328768E-2</v>
      </c>
      <c r="G66" s="323">
        <v>6.1</v>
      </c>
      <c r="H66" s="81">
        <v>6.0063999999999999E-2</v>
      </c>
      <c r="I66" s="323">
        <v>3</v>
      </c>
      <c r="J66" s="81">
        <v>6.6164000000000001E-2</v>
      </c>
      <c r="K66" s="326"/>
      <c r="L66" s="100"/>
      <c r="M66" s="93"/>
      <c r="N66" s="94"/>
      <c r="O66" s="94"/>
      <c r="AE66" s="52"/>
      <c r="AF66" s="52"/>
    </row>
    <row r="67" spans="1:32">
      <c r="A67" s="13" t="s">
        <v>128</v>
      </c>
      <c r="B67" s="75" t="s">
        <v>127</v>
      </c>
      <c r="C67" s="31" t="s">
        <v>115</v>
      </c>
      <c r="D67" s="90" t="s">
        <v>123</v>
      </c>
      <c r="E67" s="84">
        <v>15000</v>
      </c>
      <c r="F67" s="101">
        <v>0.21185582991780824</v>
      </c>
      <c r="G67" s="324"/>
      <c r="H67" s="86">
        <v>5.7964999999999996E-2</v>
      </c>
      <c r="I67" s="324"/>
      <c r="J67" s="86">
        <v>6.4064999999999997E-2</v>
      </c>
      <c r="K67" s="326"/>
      <c r="L67" s="102"/>
      <c r="M67" s="93"/>
      <c r="N67" s="94"/>
      <c r="O67" s="94"/>
      <c r="AE67" s="52"/>
      <c r="AF67" s="52"/>
    </row>
    <row r="68" spans="1:32">
      <c r="A68" s="13" t="s">
        <v>129</v>
      </c>
      <c r="B68" s="75" t="s">
        <v>127</v>
      </c>
      <c r="C68" s="97" t="s">
        <v>117</v>
      </c>
      <c r="D68" s="98" t="s">
        <v>123</v>
      </c>
      <c r="E68" s="78">
        <v>50000</v>
      </c>
      <c r="F68" s="99">
        <v>0.56067563769863016</v>
      </c>
      <c r="G68" s="324"/>
      <c r="H68" s="87">
        <v>5.4524999999999997E-2</v>
      </c>
      <c r="I68" s="324"/>
      <c r="J68" s="87">
        <v>6.0624999999999998E-2</v>
      </c>
      <c r="K68" s="326"/>
      <c r="L68" s="100"/>
      <c r="M68" s="93"/>
      <c r="N68" s="94"/>
      <c r="O68" s="94"/>
      <c r="AE68" s="52"/>
      <c r="AF68" s="52"/>
    </row>
    <row r="69" spans="1:32">
      <c r="A69" s="13" t="s">
        <v>130</v>
      </c>
      <c r="B69" s="75" t="s">
        <v>127</v>
      </c>
      <c r="C69" s="31" t="s">
        <v>119</v>
      </c>
      <c r="D69" s="90" t="s">
        <v>123</v>
      </c>
      <c r="E69" s="84">
        <v>300000</v>
      </c>
      <c r="F69" s="101">
        <v>1.3686556132602741</v>
      </c>
      <c r="G69" s="324"/>
      <c r="H69" s="86">
        <v>5.8609000000000001E-2</v>
      </c>
      <c r="I69" s="324"/>
      <c r="J69" s="86">
        <v>6.4709000000000003E-2</v>
      </c>
      <c r="K69" s="326"/>
      <c r="L69" s="102"/>
      <c r="M69" s="93"/>
      <c r="N69" s="94"/>
      <c r="O69" s="94"/>
      <c r="AE69" s="52"/>
      <c r="AF69" s="52"/>
    </row>
    <row r="70" spans="1:32">
      <c r="A70" s="13" t="s">
        <v>131</v>
      </c>
      <c r="B70" s="75" t="s">
        <v>127</v>
      </c>
      <c r="C70" s="97" t="s">
        <v>121</v>
      </c>
      <c r="D70" s="98" t="s">
        <v>132</v>
      </c>
      <c r="E70" s="78">
        <v>1500000</v>
      </c>
      <c r="F70" s="99">
        <v>7.6385029153972601</v>
      </c>
      <c r="G70" s="325"/>
      <c r="H70" s="88">
        <v>5.8545999999999994E-2</v>
      </c>
      <c r="I70" s="325"/>
      <c r="J70" s="88">
        <v>6.4645999999999995E-2</v>
      </c>
      <c r="K70" s="326"/>
      <c r="L70" s="100"/>
      <c r="M70" s="93"/>
      <c r="N70" s="94"/>
      <c r="O70" s="94"/>
      <c r="AE70" s="52"/>
      <c r="AF70" s="52"/>
    </row>
    <row r="71" spans="1:32">
      <c r="A71" s="11"/>
      <c r="B71" s="12"/>
      <c r="C71" s="103"/>
      <c r="M71" s="93"/>
      <c r="N71" s="94"/>
      <c r="O71" s="94"/>
      <c r="AE71" s="52"/>
      <c r="AF71" s="52"/>
    </row>
    <row r="72" spans="1:32">
      <c r="A72" s="11"/>
      <c r="B72" s="12"/>
      <c r="M72" s="93"/>
      <c r="N72" s="94"/>
      <c r="O72" s="94"/>
      <c r="W72" s="53"/>
      <c r="X72" s="104"/>
      <c r="Y72" s="104"/>
      <c r="AE72" s="52"/>
      <c r="AF72" s="52"/>
    </row>
    <row r="73" spans="1:32">
      <c r="A73" s="11"/>
      <c r="B73" s="327" t="s">
        <v>133</v>
      </c>
      <c r="C73" s="327"/>
      <c r="D73" s="327"/>
      <c r="E73" s="327"/>
      <c r="F73" s="327"/>
      <c r="G73" s="327"/>
      <c r="H73" s="327"/>
      <c r="I73" s="327"/>
      <c r="J73" s="327"/>
      <c r="K73" s="327"/>
      <c r="L73" s="327"/>
      <c r="M73" s="327"/>
      <c r="N73" s="327"/>
      <c r="O73" s="327"/>
      <c r="P73" s="327"/>
      <c r="Q73" s="327"/>
      <c r="R73" s="327"/>
      <c r="S73" s="327"/>
      <c r="W73" s="41"/>
      <c r="X73" s="105"/>
      <c r="Y73" s="105"/>
    </row>
    <row r="74" spans="1:32">
      <c r="A74" s="11"/>
      <c r="K74" s="106" t="s">
        <v>134</v>
      </c>
      <c r="L74" s="107">
        <v>0.21</v>
      </c>
      <c r="M74" s="108"/>
      <c r="Q74" s="106" t="s">
        <v>135</v>
      </c>
      <c r="R74" s="107">
        <v>7.0000000000000007E-2</v>
      </c>
      <c r="W74" s="41"/>
      <c r="X74" s="105"/>
      <c r="Y74" s="105"/>
    </row>
    <row r="75" spans="1:32">
      <c r="A75" s="11"/>
      <c r="E75" s="328" t="s">
        <v>136</v>
      </c>
      <c r="F75" s="328"/>
      <c r="G75" s="328"/>
      <c r="H75" s="328"/>
      <c r="J75" s="328" t="s">
        <v>137</v>
      </c>
      <c r="K75" s="328"/>
      <c r="L75" s="328"/>
      <c r="M75" s="328"/>
      <c r="O75" s="328" t="s">
        <v>138</v>
      </c>
      <c r="P75" s="328"/>
      <c r="Q75" s="328"/>
      <c r="R75" s="328"/>
      <c r="S75" s="328"/>
      <c r="W75" s="41"/>
      <c r="X75" s="105"/>
      <c r="Y75" s="105"/>
    </row>
    <row r="76" spans="1:32">
      <c r="A76" s="11"/>
      <c r="C76" s="109" t="s">
        <v>139</v>
      </c>
      <c r="D76" s="110"/>
      <c r="E76" s="111">
        <v>179.45</v>
      </c>
      <c r="F76" s="112" t="s">
        <v>140</v>
      </c>
      <c r="G76" s="113">
        <v>0.2</v>
      </c>
      <c r="H76" s="114">
        <v>143.56</v>
      </c>
      <c r="J76" s="111">
        <v>217.13449999999997</v>
      </c>
      <c r="K76" s="112" t="s">
        <v>140</v>
      </c>
      <c r="L76" s="113">
        <v>0.2</v>
      </c>
      <c r="M76" s="114">
        <v>173.70759999999999</v>
      </c>
      <c r="O76" s="111">
        <v>192.01150000000001</v>
      </c>
      <c r="Q76" s="112" t="s">
        <v>140</v>
      </c>
      <c r="R76" s="113">
        <v>0.2</v>
      </c>
      <c r="S76" s="114">
        <v>153.60920000000002</v>
      </c>
      <c r="W76" s="41"/>
      <c r="X76" s="105"/>
      <c r="Y76" s="105"/>
    </row>
    <row r="77" spans="1:32">
      <c r="A77" s="11"/>
      <c r="C77" s="109" t="s">
        <v>141</v>
      </c>
      <c r="D77" s="110"/>
      <c r="E77" s="111">
        <v>86.63</v>
      </c>
      <c r="F77" s="112" t="s">
        <v>140</v>
      </c>
      <c r="G77" s="113">
        <v>0.2</v>
      </c>
      <c r="H77" s="114">
        <v>69.304000000000002</v>
      </c>
      <c r="J77" s="111">
        <v>104.8223</v>
      </c>
      <c r="K77" s="112" t="s">
        <v>140</v>
      </c>
      <c r="L77" s="113">
        <v>0.2</v>
      </c>
      <c r="M77" s="114">
        <v>83.857839999999996</v>
      </c>
      <c r="O77" s="111">
        <v>92.694100000000006</v>
      </c>
      <c r="Q77" s="112" t="s">
        <v>140</v>
      </c>
      <c r="R77" s="113">
        <v>0.2</v>
      </c>
      <c r="S77" s="114">
        <v>74.155280000000005</v>
      </c>
      <c r="W77" s="41"/>
      <c r="X77" s="105"/>
      <c r="Y77" s="105"/>
    </row>
    <row r="78" spans="1:32">
      <c r="A78" s="11"/>
      <c r="C78" s="109" t="s">
        <v>142</v>
      </c>
      <c r="D78" s="110"/>
      <c r="E78" s="111">
        <v>126.63</v>
      </c>
      <c r="F78" s="112" t="s">
        <v>140</v>
      </c>
      <c r="G78" s="113">
        <v>0.2</v>
      </c>
      <c r="H78" s="114">
        <v>101.304</v>
      </c>
      <c r="J78" s="111">
        <v>153.22229999999999</v>
      </c>
      <c r="K78" s="112" t="s">
        <v>140</v>
      </c>
      <c r="L78" s="113">
        <v>0.2</v>
      </c>
      <c r="M78" s="114">
        <v>122.57783999999999</v>
      </c>
      <c r="O78" s="111">
        <v>135.4941</v>
      </c>
      <c r="Q78" s="112" t="s">
        <v>140</v>
      </c>
      <c r="R78" s="113">
        <v>0.2</v>
      </c>
      <c r="S78" s="114">
        <v>108.39528000000001</v>
      </c>
      <c r="W78" s="41"/>
      <c r="X78" s="105"/>
      <c r="Y78" s="105"/>
    </row>
    <row r="79" spans="1:32">
      <c r="A79" s="11"/>
      <c r="C79" s="109" t="s">
        <v>143</v>
      </c>
      <c r="D79" s="110"/>
      <c r="E79" s="115">
        <v>0</v>
      </c>
      <c r="F79" s="112"/>
      <c r="G79" s="113"/>
      <c r="H79" s="114"/>
      <c r="J79" s="116">
        <v>0</v>
      </c>
      <c r="K79" s="112"/>
      <c r="L79" s="113"/>
      <c r="M79" s="114"/>
      <c r="O79" s="116">
        <v>0</v>
      </c>
      <c r="Q79" s="112"/>
      <c r="R79" s="113"/>
      <c r="S79" s="114"/>
      <c r="W79" s="53"/>
      <c r="X79" s="53"/>
      <c r="Y79" s="53"/>
    </row>
    <row r="80" spans="1:32">
      <c r="A80" s="11"/>
      <c r="C80" s="117"/>
      <c r="F80" s="118"/>
    </row>
    <row r="81" spans="1:25">
      <c r="A81" s="11"/>
      <c r="W81" s="119"/>
      <c r="X81" s="119"/>
      <c r="Y81" s="119"/>
    </row>
    <row r="82" spans="1:25">
      <c r="A82" s="11"/>
      <c r="W82" s="120"/>
      <c r="X82" s="120"/>
      <c r="Y82" s="120"/>
    </row>
    <row r="83" spans="1:25">
      <c r="A83" s="11"/>
      <c r="W83" s="104"/>
      <c r="X83" s="300"/>
      <c r="Y83" s="300"/>
    </row>
    <row r="84" spans="1:25">
      <c r="A84" s="11"/>
      <c r="W84" s="16"/>
      <c r="X84" s="16"/>
      <c r="Y84" s="16"/>
    </row>
    <row r="85" spans="1:25">
      <c r="A85" s="11"/>
      <c r="W85" s="41"/>
      <c r="X85" s="41"/>
      <c r="Y85" s="41"/>
    </row>
    <row r="86" spans="1:25">
      <c r="A86" s="11"/>
      <c r="W86" s="41"/>
      <c r="X86" s="41"/>
      <c r="Y86" s="41"/>
    </row>
    <row r="87" spans="1:25">
      <c r="A87" s="11"/>
      <c r="W87" s="41"/>
      <c r="X87" s="41"/>
      <c r="Y87" s="41"/>
    </row>
    <row r="88" spans="1:25">
      <c r="A88" s="11"/>
      <c r="W88" s="121"/>
      <c r="X88" s="41"/>
      <c r="Y88" s="41"/>
    </row>
    <row r="89" spans="1:25">
      <c r="A89" s="11"/>
      <c r="W89" s="41"/>
      <c r="X89" s="41"/>
      <c r="Y89" s="41"/>
    </row>
    <row r="90" spans="1:25">
      <c r="A90" s="11"/>
      <c r="W90" s="41"/>
      <c r="X90" s="41"/>
      <c r="Y90" s="41"/>
    </row>
    <row r="91" spans="1:25">
      <c r="A91" s="11"/>
      <c r="W91" s="41"/>
      <c r="X91" s="41"/>
      <c r="Y91" s="41"/>
    </row>
    <row r="92" spans="1:25">
      <c r="A92" s="11"/>
      <c r="W92" s="41"/>
      <c r="X92" s="41"/>
      <c r="Y92" s="41"/>
    </row>
    <row r="93" spans="1:25">
      <c r="A93" s="11"/>
    </row>
    <row r="94" spans="1:25">
      <c r="A94" s="11"/>
    </row>
    <row r="95" spans="1:25">
      <c r="A95" s="11"/>
    </row>
    <row r="96" spans="1:25">
      <c r="A96" s="122"/>
    </row>
    <row r="97" spans="1:1">
      <c r="A97" s="122"/>
    </row>
    <row r="98" spans="1:1">
      <c r="A98" s="122"/>
    </row>
    <row r="99" spans="1:1">
      <c r="A99" s="122"/>
    </row>
    <row r="100" spans="1:1">
      <c r="A100" s="122"/>
    </row>
    <row r="101" spans="1:1">
      <c r="A101" s="122"/>
    </row>
    <row r="102" spans="1:1">
      <c r="A102" s="122"/>
    </row>
  </sheetData>
  <mergeCells count="70">
    <mergeCell ref="X83:Y83"/>
    <mergeCell ref="G66:G70"/>
    <mergeCell ref="I66:I70"/>
    <mergeCell ref="K66:K70"/>
    <mergeCell ref="B73:S73"/>
    <mergeCell ref="E75:H75"/>
    <mergeCell ref="J75:M75"/>
    <mergeCell ref="O75:S75"/>
    <mergeCell ref="L64:L65"/>
    <mergeCell ref="G55:G59"/>
    <mergeCell ref="I55:I59"/>
    <mergeCell ref="K55:K59"/>
    <mergeCell ref="C61:F62"/>
    <mergeCell ref="G61:H62"/>
    <mergeCell ref="I61:J62"/>
    <mergeCell ref="K61:L62"/>
    <mergeCell ref="G63:G65"/>
    <mergeCell ref="I63:I65"/>
    <mergeCell ref="K63:K65"/>
    <mergeCell ref="E64:E65"/>
    <mergeCell ref="F64:F65"/>
    <mergeCell ref="C40:C41"/>
    <mergeCell ref="E40:E41"/>
    <mergeCell ref="F40:K40"/>
    <mergeCell ref="L40:Q40"/>
    <mergeCell ref="G52:G54"/>
    <mergeCell ref="I52:I54"/>
    <mergeCell ref="K52:K54"/>
    <mergeCell ref="E53:E54"/>
    <mergeCell ref="F53:F54"/>
    <mergeCell ref="B48:AE48"/>
    <mergeCell ref="C50:F51"/>
    <mergeCell ref="G50:H51"/>
    <mergeCell ref="I50:J51"/>
    <mergeCell ref="K50:L51"/>
    <mergeCell ref="S30:X31"/>
    <mergeCell ref="Y30:Y32"/>
    <mergeCell ref="Z30:AE31"/>
    <mergeCell ref="Y33:Y35"/>
    <mergeCell ref="C38:Q38"/>
    <mergeCell ref="C31:C32"/>
    <mergeCell ref="E31:E32"/>
    <mergeCell ref="F31:K31"/>
    <mergeCell ref="L22:Q23"/>
    <mergeCell ref="R22:R24"/>
    <mergeCell ref="L30:Q31"/>
    <mergeCell ref="R30:R32"/>
    <mergeCell ref="Z14:AE15"/>
    <mergeCell ref="S22:X23"/>
    <mergeCell ref="Y22:Y24"/>
    <mergeCell ref="Z22:AE23"/>
    <mergeCell ref="D23:D24"/>
    <mergeCell ref="E23:E24"/>
    <mergeCell ref="F23:K23"/>
    <mergeCell ref="D15:D16"/>
    <mergeCell ref="E15:E16"/>
    <mergeCell ref="F15:K15"/>
    <mergeCell ref="B4:AE4"/>
    <mergeCell ref="L7:Q8"/>
    <mergeCell ref="R7:R9"/>
    <mergeCell ref="S7:X8"/>
    <mergeCell ref="Y7:Y9"/>
    <mergeCell ref="Z7:AE8"/>
    <mergeCell ref="D8:D9"/>
    <mergeCell ref="E8:E9"/>
    <mergeCell ref="F8:K8"/>
    <mergeCell ref="L14:Q15"/>
    <mergeCell ref="R14:R16"/>
    <mergeCell ref="S14:X15"/>
    <mergeCell ref="Y14:Y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7CEC-544F-4A90-A08E-BC04E4CD5EF3}">
  <dimension ref="A1:V344"/>
  <sheetViews>
    <sheetView topLeftCell="B23" workbookViewId="0">
      <selection activeCell="O10" sqref="O10"/>
    </sheetView>
  </sheetViews>
  <sheetFormatPr baseColWidth="10" defaultRowHeight="15"/>
  <cols>
    <col min="1" max="1" width="4.140625" customWidth="1"/>
    <col min="2" max="2" width="43" customWidth="1"/>
  </cols>
  <sheetData>
    <row r="1" spans="1:22" ht="85.9" customHeight="1">
      <c r="A1" s="127"/>
      <c r="B1" s="127"/>
      <c r="C1" s="128"/>
      <c r="D1" s="128"/>
      <c r="E1" s="127"/>
      <c r="F1" s="127"/>
      <c r="G1" s="127"/>
      <c r="H1" s="127"/>
      <c r="I1" s="128"/>
      <c r="J1" s="129"/>
      <c r="K1" s="129"/>
      <c r="L1" s="129"/>
      <c r="M1" s="129"/>
      <c r="N1" s="129"/>
      <c r="O1" s="129"/>
      <c r="P1" s="129"/>
      <c r="Q1" s="130"/>
      <c r="R1" s="130"/>
      <c r="S1" s="130"/>
      <c r="T1" s="130"/>
      <c r="U1" s="131"/>
      <c r="V1" s="131"/>
    </row>
    <row r="2" spans="1:22" ht="25.5">
      <c r="A2" s="132"/>
      <c r="B2" s="133" t="s">
        <v>174</v>
      </c>
      <c r="C2" s="337" t="s">
        <v>175</v>
      </c>
      <c r="D2" s="337"/>
      <c r="E2" s="337"/>
      <c r="F2" s="337"/>
      <c r="G2" s="337"/>
      <c r="H2" s="337"/>
      <c r="I2" s="337" t="s">
        <v>176</v>
      </c>
      <c r="J2" s="337"/>
      <c r="K2" s="337"/>
      <c r="L2" s="337"/>
      <c r="M2" s="337"/>
      <c r="N2" s="337"/>
      <c r="O2" s="134" t="s">
        <v>177</v>
      </c>
      <c r="P2" s="134" t="s">
        <v>178</v>
      </c>
      <c r="Q2" s="134" t="s">
        <v>179</v>
      </c>
      <c r="R2" s="134" t="s">
        <v>180</v>
      </c>
      <c r="S2" s="134" t="s">
        <v>181</v>
      </c>
      <c r="T2" s="134" t="s">
        <v>182</v>
      </c>
      <c r="U2" s="337" t="s">
        <v>183</v>
      </c>
      <c r="V2" s="337"/>
    </row>
    <row r="3" spans="1:22" ht="15.75">
      <c r="A3" s="135"/>
      <c r="B3" s="133"/>
      <c r="C3" s="136" t="s">
        <v>184</v>
      </c>
      <c r="D3" s="137" t="s">
        <v>35</v>
      </c>
      <c r="E3" s="137" t="s">
        <v>185</v>
      </c>
      <c r="F3" s="137" t="s">
        <v>37</v>
      </c>
      <c r="G3" s="137" t="s">
        <v>38</v>
      </c>
      <c r="H3" s="137" t="s">
        <v>39</v>
      </c>
      <c r="I3" s="137" t="s">
        <v>184</v>
      </c>
      <c r="J3" s="137" t="s">
        <v>35</v>
      </c>
      <c r="K3" s="137" t="s">
        <v>185</v>
      </c>
      <c r="L3" s="137" t="s">
        <v>37</v>
      </c>
      <c r="M3" s="137" t="s">
        <v>38</v>
      </c>
      <c r="N3" s="137" t="s">
        <v>39</v>
      </c>
      <c r="O3" s="134"/>
      <c r="P3" s="134"/>
      <c r="Q3" s="134"/>
      <c r="R3" s="134"/>
      <c r="S3" s="134"/>
      <c r="T3" s="134"/>
      <c r="U3" s="136" t="s">
        <v>184</v>
      </c>
      <c r="V3" s="137" t="s">
        <v>35</v>
      </c>
    </row>
    <row r="4" spans="1:22" ht="15.75">
      <c r="A4" s="135"/>
      <c r="B4" s="133"/>
      <c r="C4" s="136" t="s">
        <v>186</v>
      </c>
      <c r="D4" s="137" t="s">
        <v>187</v>
      </c>
      <c r="E4" s="137"/>
      <c r="F4" s="137"/>
      <c r="G4" s="137"/>
      <c r="H4" s="137"/>
      <c r="I4" s="137" t="s">
        <v>186</v>
      </c>
      <c r="J4" s="137" t="s">
        <v>188</v>
      </c>
      <c r="K4" s="137" t="s">
        <v>187</v>
      </c>
      <c r="L4" s="137"/>
      <c r="M4" s="137"/>
      <c r="N4" s="137"/>
      <c r="O4" s="134"/>
      <c r="P4" s="134"/>
      <c r="Q4" s="134"/>
      <c r="R4" s="134"/>
      <c r="S4" s="134"/>
      <c r="T4" s="134"/>
      <c r="U4" s="136" t="s">
        <v>189</v>
      </c>
      <c r="V4" s="137" t="s">
        <v>187</v>
      </c>
    </row>
    <row r="5" spans="1:22" ht="15.75">
      <c r="A5" s="135"/>
      <c r="B5" s="133"/>
      <c r="C5" s="136"/>
      <c r="D5" s="137"/>
      <c r="E5" s="137"/>
      <c r="F5" s="137"/>
      <c r="G5" s="137"/>
      <c r="H5" s="137"/>
      <c r="I5" s="137" t="s">
        <v>190</v>
      </c>
      <c r="J5" s="137" t="s">
        <v>191</v>
      </c>
      <c r="K5" s="137"/>
      <c r="L5" s="137"/>
      <c r="M5" s="137"/>
      <c r="N5" s="137"/>
      <c r="O5" s="138" t="s">
        <v>192</v>
      </c>
      <c r="P5" s="138" t="s">
        <v>193</v>
      </c>
      <c r="Q5" s="138" t="s">
        <v>194</v>
      </c>
      <c r="R5" s="138" t="s">
        <v>195</v>
      </c>
      <c r="S5" s="138" t="s">
        <v>196</v>
      </c>
      <c r="T5" s="138" t="s">
        <v>197</v>
      </c>
      <c r="U5" s="136" t="s">
        <v>198</v>
      </c>
      <c r="V5" s="136" t="s">
        <v>198</v>
      </c>
    </row>
    <row r="6" spans="1:22" ht="12.6" customHeight="1">
      <c r="A6" s="135"/>
      <c r="B6" s="139"/>
      <c r="C6" s="140">
        <v>1</v>
      </c>
      <c r="D6" s="141">
        <v>2</v>
      </c>
      <c r="E6" s="141">
        <v>3</v>
      </c>
      <c r="F6" s="141">
        <v>4</v>
      </c>
      <c r="G6" s="141">
        <v>5</v>
      </c>
      <c r="H6" s="141">
        <v>6</v>
      </c>
      <c r="I6" s="141">
        <v>7</v>
      </c>
      <c r="J6" s="141">
        <v>8</v>
      </c>
      <c r="K6" s="141">
        <v>9</v>
      </c>
      <c r="L6" s="141">
        <v>10</v>
      </c>
      <c r="M6" s="141">
        <v>11</v>
      </c>
      <c r="N6" s="141">
        <v>12</v>
      </c>
      <c r="O6" s="142"/>
      <c r="P6" s="142"/>
      <c r="Q6" s="143"/>
      <c r="R6" s="143"/>
      <c r="S6" s="143"/>
      <c r="T6" s="143"/>
      <c r="U6" s="132"/>
      <c r="V6" s="131"/>
    </row>
    <row r="7" spans="1:22" ht="7.9" hidden="1" customHeight="1">
      <c r="A7" s="135"/>
      <c r="B7" s="139"/>
      <c r="C7" s="144"/>
      <c r="D7" s="141"/>
      <c r="E7" s="141"/>
      <c r="F7" s="141"/>
      <c r="G7" s="141"/>
      <c r="H7" s="141"/>
      <c r="I7" s="145"/>
      <c r="J7" s="146"/>
      <c r="K7" s="141"/>
      <c r="L7" s="141"/>
      <c r="M7" s="141"/>
      <c r="N7" s="141"/>
      <c r="O7" s="142"/>
      <c r="P7" s="142"/>
      <c r="Q7" s="143"/>
      <c r="R7" s="143"/>
      <c r="S7" s="143"/>
      <c r="T7" s="143"/>
      <c r="U7" s="132"/>
      <c r="V7" s="131"/>
    </row>
    <row r="8" spans="1:22" ht="26.25">
      <c r="A8" s="135"/>
      <c r="B8" s="338" t="s">
        <v>199</v>
      </c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</row>
    <row r="9" spans="1:22" ht="16.5" thickBot="1">
      <c r="A9" s="135"/>
      <c r="B9" s="339" t="s">
        <v>200</v>
      </c>
      <c r="C9" s="339"/>
      <c r="D9" s="339"/>
      <c r="E9" s="339"/>
      <c r="F9" s="339"/>
      <c r="G9" s="339"/>
      <c r="H9" s="339"/>
      <c r="I9" s="339"/>
      <c r="J9" s="339"/>
      <c r="K9" s="339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</row>
    <row r="10" spans="1:22">
      <c r="A10" s="147"/>
      <c r="B10" s="148" t="s">
        <v>201</v>
      </c>
      <c r="C10" s="149">
        <v>42.99</v>
      </c>
      <c r="D10" s="150">
        <v>21.99</v>
      </c>
      <c r="E10" s="151"/>
      <c r="F10" s="148"/>
      <c r="G10" s="151"/>
      <c r="H10" s="148"/>
      <c r="I10" s="152">
        <v>0.207647</v>
      </c>
      <c r="J10" s="150"/>
      <c r="K10" s="153"/>
      <c r="L10" s="153"/>
      <c r="M10" s="153"/>
      <c r="N10" s="153"/>
      <c r="O10" s="154" t="s">
        <v>202</v>
      </c>
      <c r="P10" s="154">
        <v>0.06</v>
      </c>
      <c r="Q10" s="155" t="s">
        <v>203</v>
      </c>
      <c r="R10" s="155" t="s">
        <v>204</v>
      </c>
      <c r="S10" s="155" t="s">
        <v>204</v>
      </c>
      <c r="T10" s="155" t="s">
        <v>205</v>
      </c>
      <c r="U10" s="156">
        <v>0.11778082191780823</v>
      </c>
      <c r="V10" s="156">
        <v>6.0246575342465747E-2</v>
      </c>
    </row>
    <row r="11" spans="1:22">
      <c r="A11" s="147"/>
      <c r="B11" s="148" t="s">
        <v>206</v>
      </c>
      <c r="C11" s="157">
        <v>42.99</v>
      </c>
      <c r="D11" s="158">
        <v>21.99</v>
      </c>
      <c r="E11" s="151"/>
      <c r="F11" s="148"/>
      <c r="G11" s="151"/>
      <c r="H11" s="148"/>
      <c r="I11" s="156">
        <v>0.25219999999999998</v>
      </c>
      <c r="J11" s="158">
        <v>0.2107</v>
      </c>
      <c r="K11" s="158">
        <v>0.18279999999999999</v>
      </c>
      <c r="L11" s="153"/>
      <c r="M11" s="153"/>
      <c r="N11" s="153"/>
      <c r="O11" s="154" t="s">
        <v>202</v>
      </c>
      <c r="P11" s="154">
        <v>0.06</v>
      </c>
      <c r="Q11" s="155" t="s">
        <v>203</v>
      </c>
      <c r="R11" s="155" t="s">
        <v>204</v>
      </c>
      <c r="S11" s="155" t="s">
        <v>204</v>
      </c>
      <c r="T11" s="155" t="s">
        <v>205</v>
      </c>
      <c r="U11" s="156">
        <v>0.11778082191780823</v>
      </c>
      <c r="V11" s="156">
        <v>6.0246575342465747E-2</v>
      </c>
    </row>
    <row r="12" spans="1:22">
      <c r="A12" s="147"/>
      <c r="B12" s="148" t="s">
        <v>207</v>
      </c>
      <c r="C12" s="157">
        <v>39.49</v>
      </c>
      <c r="D12" s="158">
        <v>16.989999999999998</v>
      </c>
      <c r="E12" s="159"/>
      <c r="F12" s="151"/>
      <c r="G12" s="151"/>
      <c r="H12" s="148"/>
      <c r="I12" s="160">
        <v>0.14874999999999999</v>
      </c>
      <c r="J12" s="161"/>
      <c r="K12" s="161"/>
      <c r="L12" s="161"/>
      <c r="M12" s="161"/>
      <c r="N12" s="162"/>
      <c r="O12" s="154" t="s">
        <v>208</v>
      </c>
      <c r="P12" s="154">
        <v>0.06</v>
      </c>
      <c r="Q12" s="155" t="s">
        <v>203</v>
      </c>
      <c r="R12" s="155" t="s">
        <v>204</v>
      </c>
      <c r="S12" s="155" t="s">
        <v>204</v>
      </c>
      <c r="T12" s="155" t="s">
        <v>205</v>
      </c>
      <c r="U12" s="163">
        <v>0.10819178082191781</v>
      </c>
      <c r="V12" s="163">
        <v>4.6547945205479446E-2</v>
      </c>
    </row>
    <row r="13" spans="1:22">
      <c r="A13" s="147"/>
      <c r="B13" s="148" t="s">
        <v>209</v>
      </c>
      <c r="C13" s="164">
        <v>31</v>
      </c>
      <c r="D13" s="165">
        <v>17.989999999999998</v>
      </c>
      <c r="E13" s="159"/>
      <c r="F13" s="151"/>
      <c r="G13" s="151"/>
      <c r="H13" s="148"/>
      <c r="I13" s="160">
        <v>0.19187499999999999</v>
      </c>
      <c r="J13" s="161"/>
      <c r="K13" s="161"/>
      <c r="L13" s="161"/>
      <c r="M13" s="166"/>
      <c r="N13" s="166"/>
      <c r="O13" s="154" t="s">
        <v>208</v>
      </c>
      <c r="P13" s="154">
        <v>0.06</v>
      </c>
      <c r="Q13" s="155" t="s">
        <v>210</v>
      </c>
      <c r="R13" s="155" t="s">
        <v>204</v>
      </c>
      <c r="S13" s="155" t="s">
        <v>204</v>
      </c>
      <c r="T13" s="155" t="s">
        <v>205</v>
      </c>
      <c r="U13" s="163">
        <v>8.4931506849315067E-2</v>
      </c>
      <c r="V13" s="163">
        <v>4.9287671232876709E-2</v>
      </c>
    </row>
    <row r="14" spans="1:22">
      <c r="A14" s="147"/>
      <c r="B14" s="167" t="s">
        <v>211</v>
      </c>
      <c r="C14" s="168">
        <v>39.49</v>
      </c>
      <c r="D14" s="169">
        <v>16.989999999999998</v>
      </c>
      <c r="E14" s="170"/>
      <c r="F14" s="167"/>
      <c r="G14" s="170"/>
      <c r="H14" s="167"/>
      <c r="I14" s="171">
        <v>0.17487499999999997</v>
      </c>
      <c r="J14" s="172"/>
      <c r="K14" s="172"/>
      <c r="L14" s="172"/>
      <c r="M14" s="172"/>
      <c r="N14" s="172"/>
      <c r="O14" s="173" t="s">
        <v>208</v>
      </c>
      <c r="P14" s="173">
        <v>0.06</v>
      </c>
      <c r="Q14" s="174" t="s">
        <v>212</v>
      </c>
      <c r="R14" s="174" t="s">
        <v>205</v>
      </c>
      <c r="S14" s="174" t="s">
        <v>205</v>
      </c>
      <c r="T14" s="174" t="s">
        <v>205</v>
      </c>
      <c r="U14" s="175">
        <v>0.10819178082191781</v>
      </c>
      <c r="V14" s="175">
        <v>4.6547945205479446E-2</v>
      </c>
    </row>
    <row r="15" spans="1:22">
      <c r="A15" s="147"/>
      <c r="B15" s="167" t="s">
        <v>213</v>
      </c>
      <c r="C15" s="168">
        <v>39.49</v>
      </c>
      <c r="D15" s="168">
        <v>17.989999999999998</v>
      </c>
      <c r="E15" s="170"/>
      <c r="F15" s="167"/>
      <c r="G15" s="170"/>
      <c r="H15" s="167"/>
      <c r="I15" s="171">
        <v>0.19187499999999999</v>
      </c>
      <c r="J15" s="172"/>
      <c r="K15" s="172"/>
      <c r="L15" s="172"/>
      <c r="M15" s="172"/>
      <c r="N15" s="172"/>
      <c r="O15" s="173" t="s">
        <v>214</v>
      </c>
      <c r="P15" s="173">
        <v>0.06</v>
      </c>
      <c r="Q15" s="174" t="s">
        <v>212</v>
      </c>
      <c r="R15" s="174" t="s">
        <v>205</v>
      </c>
      <c r="S15" s="174" t="s">
        <v>205</v>
      </c>
      <c r="T15" s="174" t="s">
        <v>205</v>
      </c>
      <c r="U15" s="175">
        <v>0.10819178082191781</v>
      </c>
      <c r="V15" s="175">
        <v>4.9287671232876709E-2</v>
      </c>
    </row>
    <row r="16" spans="1:22">
      <c r="A16" s="147"/>
      <c r="B16" s="167" t="s">
        <v>215</v>
      </c>
      <c r="C16" s="176">
        <v>39.49</v>
      </c>
      <c r="D16" s="176">
        <v>17.989999999999998</v>
      </c>
      <c r="E16" s="177"/>
      <c r="F16" s="177"/>
      <c r="G16" s="178"/>
      <c r="H16" s="177"/>
      <c r="I16" s="179">
        <v>0.17111099999999999</v>
      </c>
      <c r="J16" s="172"/>
      <c r="K16" s="172"/>
      <c r="L16" s="180"/>
      <c r="M16" s="172"/>
      <c r="N16" s="172"/>
      <c r="O16" s="173" t="s">
        <v>216</v>
      </c>
      <c r="P16" s="173">
        <v>0.06</v>
      </c>
      <c r="Q16" s="174" t="s">
        <v>217</v>
      </c>
      <c r="R16" s="174" t="s">
        <v>205</v>
      </c>
      <c r="S16" s="174" t="s">
        <v>205</v>
      </c>
      <c r="T16" s="174" t="s">
        <v>205</v>
      </c>
      <c r="U16" s="175">
        <v>0.10819178082191781</v>
      </c>
      <c r="V16" s="175">
        <v>4.9287671232876709E-2</v>
      </c>
    </row>
    <row r="17" spans="1:22">
      <c r="A17" s="147"/>
      <c r="B17" s="167" t="s">
        <v>218</v>
      </c>
      <c r="C17" s="176">
        <v>39.49</v>
      </c>
      <c r="D17" s="176">
        <v>17.989999999999998</v>
      </c>
      <c r="E17" s="177"/>
      <c r="F17" s="177"/>
      <c r="G17" s="178"/>
      <c r="H17" s="177"/>
      <c r="I17" s="181">
        <v>0.23526</v>
      </c>
      <c r="J17" s="182">
        <v>0.11763000000000001</v>
      </c>
      <c r="K17" s="183"/>
      <c r="L17" s="183"/>
      <c r="M17" s="183"/>
      <c r="N17" s="172"/>
      <c r="O17" s="173" t="s">
        <v>219</v>
      </c>
      <c r="P17" s="173">
        <v>0.06</v>
      </c>
      <c r="Q17" s="174" t="s">
        <v>220</v>
      </c>
      <c r="R17" s="174" t="s">
        <v>205</v>
      </c>
      <c r="S17" s="174" t="s">
        <v>205</v>
      </c>
      <c r="T17" s="174" t="s">
        <v>205</v>
      </c>
      <c r="U17" s="175">
        <v>0.10819178082191781</v>
      </c>
      <c r="V17" s="175">
        <v>4.9287671232876709E-2</v>
      </c>
    </row>
    <row r="18" spans="1:22">
      <c r="A18" s="147"/>
      <c r="B18" s="167" t="s">
        <v>221</v>
      </c>
      <c r="C18" s="176">
        <v>39.49</v>
      </c>
      <c r="D18" s="176">
        <v>17.989999999999998</v>
      </c>
      <c r="E18" s="177"/>
      <c r="F18" s="177"/>
      <c r="G18" s="178"/>
      <c r="H18" s="177"/>
      <c r="I18" s="171">
        <v>0.217</v>
      </c>
      <c r="J18" s="182"/>
      <c r="K18" s="172"/>
      <c r="L18" s="183"/>
      <c r="M18" s="172"/>
      <c r="N18" s="172"/>
      <c r="O18" s="173" t="s">
        <v>222</v>
      </c>
      <c r="P18" s="173">
        <v>0.06</v>
      </c>
      <c r="Q18" s="174" t="s">
        <v>212</v>
      </c>
      <c r="R18" s="174" t="s">
        <v>205</v>
      </c>
      <c r="S18" s="174" t="s">
        <v>205</v>
      </c>
      <c r="T18" s="174" t="s">
        <v>205</v>
      </c>
      <c r="U18" s="175">
        <v>0.10819178082191781</v>
      </c>
      <c r="V18" s="175">
        <v>4.9287671232876709E-2</v>
      </c>
    </row>
    <row r="19" spans="1:22">
      <c r="A19" s="147"/>
      <c r="B19" s="167" t="s">
        <v>223</v>
      </c>
      <c r="C19" s="176">
        <v>39.49</v>
      </c>
      <c r="D19" s="176">
        <v>17.989999999999998</v>
      </c>
      <c r="E19" s="184"/>
      <c r="F19" s="167"/>
      <c r="G19" s="167"/>
      <c r="H19" s="167"/>
      <c r="I19" s="181">
        <v>0.24982200000000002</v>
      </c>
      <c r="J19" s="185">
        <v>0.12491100000000001</v>
      </c>
      <c r="K19" s="186"/>
      <c r="L19" s="186"/>
      <c r="M19" s="172"/>
      <c r="N19" s="172"/>
      <c r="O19" s="173" t="s">
        <v>224</v>
      </c>
      <c r="P19" s="173">
        <v>0.06</v>
      </c>
      <c r="Q19" s="174" t="s">
        <v>212</v>
      </c>
      <c r="R19" s="174" t="s">
        <v>205</v>
      </c>
      <c r="S19" s="174" t="s">
        <v>205</v>
      </c>
      <c r="T19" s="174" t="s">
        <v>205</v>
      </c>
      <c r="U19" s="175">
        <v>0.10819178082191781</v>
      </c>
      <c r="V19" s="175">
        <v>4.9287671232876709E-2</v>
      </c>
    </row>
    <row r="20" spans="1:22">
      <c r="A20" s="147"/>
      <c r="B20" s="167" t="s">
        <v>225</v>
      </c>
      <c r="C20" s="176">
        <v>42.49</v>
      </c>
      <c r="D20" s="176">
        <v>18.989999999999998</v>
      </c>
      <c r="E20" s="167"/>
      <c r="F20" s="185"/>
      <c r="G20" s="167"/>
      <c r="H20" s="167"/>
      <c r="I20" s="179">
        <v>0.15913099999999999</v>
      </c>
      <c r="J20" s="186"/>
      <c r="K20" s="185"/>
      <c r="L20" s="172"/>
      <c r="M20" s="172"/>
      <c r="N20" s="172"/>
      <c r="O20" s="173" t="s">
        <v>226</v>
      </c>
      <c r="P20" s="173">
        <v>0.06</v>
      </c>
      <c r="Q20" s="174" t="s">
        <v>227</v>
      </c>
      <c r="R20" s="174" t="s">
        <v>205</v>
      </c>
      <c r="S20" s="174" t="s">
        <v>205</v>
      </c>
      <c r="T20" s="174" t="s">
        <v>205</v>
      </c>
      <c r="U20" s="175">
        <v>0.11641095890410959</v>
      </c>
      <c r="V20" s="175">
        <v>5.2027397260273965E-2</v>
      </c>
    </row>
    <row r="21" spans="1:22">
      <c r="A21" s="147"/>
      <c r="B21" s="167" t="s">
        <v>228</v>
      </c>
      <c r="C21" s="176">
        <v>39.49</v>
      </c>
      <c r="D21" s="176">
        <v>17.989999999999998</v>
      </c>
      <c r="E21" s="167"/>
      <c r="F21" s="167"/>
      <c r="G21" s="167"/>
      <c r="H21" s="167"/>
      <c r="I21" s="187">
        <v>0.24399999999999999</v>
      </c>
      <c r="J21" s="188">
        <v>0.122</v>
      </c>
      <c r="K21" s="172"/>
      <c r="L21" s="172"/>
      <c r="M21" s="172"/>
      <c r="N21" s="172"/>
      <c r="O21" s="173" t="s">
        <v>229</v>
      </c>
      <c r="P21" s="173">
        <v>0.06</v>
      </c>
      <c r="Q21" s="174" t="s">
        <v>203</v>
      </c>
      <c r="R21" s="174" t="s">
        <v>205</v>
      </c>
      <c r="S21" s="174" t="s">
        <v>205</v>
      </c>
      <c r="T21" s="174" t="s">
        <v>205</v>
      </c>
      <c r="U21" s="189">
        <v>0.10819178082191781</v>
      </c>
      <c r="V21" s="189">
        <v>4.9287671232876709E-2</v>
      </c>
    </row>
    <row r="22" spans="1:22">
      <c r="A22" s="147"/>
      <c r="B22" s="167" t="s">
        <v>230</v>
      </c>
      <c r="C22" s="168">
        <v>39.49</v>
      </c>
      <c r="D22" s="169">
        <v>17.989999999999998</v>
      </c>
      <c r="E22" s="170"/>
      <c r="F22" s="167"/>
      <c r="G22" s="170"/>
      <c r="H22" s="167"/>
      <c r="I22" s="171">
        <v>0.14999899999999999</v>
      </c>
      <c r="J22" s="172"/>
      <c r="K22" s="172"/>
      <c r="L22" s="172"/>
      <c r="M22" s="172"/>
      <c r="N22" s="172"/>
      <c r="O22" s="173" t="s">
        <v>229</v>
      </c>
      <c r="P22" s="173">
        <v>0.06</v>
      </c>
      <c r="Q22" s="174" t="s">
        <v>203</v>
      </c>
      <c r="R22" s="174" t="s">
        <v>205</v>
      </c>
      <c r="S22" s="174" t="s">
        <v>205</v>
      </c>
      <c r="T22" s="174" t="s">
        <v>205</v>
      </c>
      <c r="U22" s="175">
        <v>0.10819178082191781</v>
      </c>
      <c r="V22" s="175">
        <v>4.9287671232876709E-2</v>
      </c>
    </row>
    <row r="23" spans="1:22">
      <c r="A23" s="147"/>
      <c r="B23" s="190" t="s">
        <v>231</v>
      </c>
      <c r="C23" s="191">
        <v>42.49</v>
      </c>
      <c r="D23" s="192">
        <v>16.989999999999998</v>
      </c>
      <c r="E23" s="166"/>
      <c r="F23" s="166"/>
      <c r="G23" s="166"/>
      <c r="H23" s="166"/>
      <c r="I23" s="152">
        <v>0.17319999999999999</v>
      </c>
      <c r="J23" s="161"/>
      <c r="K23" s="161"/>
      <c r="L23" s="161"/>
      <c r="M23" s="162"/>
      <c r="N23" s="161"/>
      <c r="O23" s="193" t="s">
        <v>232</v>
      </c>
      <c r="P23" s="193">
        <v>0.06</v>
      </c>
      <c r="Q23" s="194" t="s">
        <v>203</v>
      </c>
      <c r="R23" s="194" t="s">
        <v>205</v>
      </c>
      <c r="S23" s="194" t="s">
        <v>204</v>
      </c>
      <c r="T23" s="194" t="s">
        <v>205</v>
      </c>
      <c r="U23" s="156">
        <v>0.11641095890410959</v>
      </c>
      <c r="V23" s="156">
        <v>4.6547945205479446E-2</v>
      </c>
    </row>
    <row r="24" spans="1:22">
      <c r="A24" s="147"/>
      <c r="B24" s="190" t="s">
        <v>233</v>
      </c>
      <c r="C24" s="195">
        <v>26.93055</v>
      </c>
      <c r="D24" s="161">
        <v>0.69758799999999999</v>
      </c>
      <c r="E24" s="166"/>
      <c r="F24" s="166"/>
      <c r="G24" s="166"/>
      <c r="H24" s="166"/>
      <c r="I24" s="196">
        <v>1.4999999999999999E-2</v>
      </c>
      <c r="J24" s="161"/>
      <c r="K24" s="161"/>
      <c r="L24" s="161"/>
      <c r="M24" s="161"/>
      <c r="N24" s="161"/>
      <c r="O24" s="193" t="s">
        <v>234</v>
      </c>
      <c r="P24" s="193" t="s">
        <v>235</v>
      </c>
      <c r="Q24" s="194" t="s">
        <v>203</v>
      </c>
      <c r="R24" s="194" t="s">
        <v>204</v>
      </c>
      <c r="S24" s="194" t="s">
        <v>204</v>
      </c>
      <c r="T24" s="194" t="s">
        <v>205</v>
      </c>
      <c r="U24" s="156">
        <v>7.378232876712329E-2</v>
      </c>
      <c r="V24" s="156">
        <v>1.9112000000000001E-3</v>
      </c>
    </row>
    <row r="25" spans="1:22">
      <c r="A25" s="147"/>
      <c r="B25" s="190" t="s">
        <v>236</v>
      </c>
      <c r="C25" s="195">
        <v>26.93055</v>
      </c>
      <c r="D25" s="161">
        <v>0.69758799999999999</v>
      </c>
      <c r="E25" s="166"/>
      <c r="F25" s="166"/>
      <c r="G25" s="166"/>
      <c r="H25" s="166"/>
      <c r="I25" s="196">
        <v>0.03</v>
      </c>
      <c r="J25" s="161"/>
      <c r="K25" s="161"/>
      <c r="L25" s="161"/>
      <c r="M25" s="161"/>
      <c r="N25" s="161"/>
      <c r="O25" s="193" t="s">
        <v>229</v>
      </c>
      <c r="P25" s="193" t="s">
        <v>235</v>
      </c>
      <c r="Q25" s="194" t="s">
        <v>203</v>
      </c>
      <c r="R25" s="194" t="s">
        <v>204</v>
      </c>
      <c r="S25" s="194" t="s">
        <v>204</v>
      </c>
      <c r="T25" s="194" t="s">
        <v>205</v>
      </c>
      <c r="U25" s="156">
        <v>7.378232876712329E-2</v>
      </c>
      <c r="V25" s="156">
        <v>1.9112000000000001E-3</v>
      </c>
    </row>
    <row r="26" spans="1:22" ht="16.5" thickBot="1">
      <c r="A26" s="135"/>
      <c r="B26" s="340" t="s">
        <v>237</v>
      </c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P26" s="340"/>
      <c r="Q26" s="340"/>
      <c r="R26" s="340"/>
      <c r="S26" s="340"/>
      <c r="T26" s="340"/>
      <c r="U26" s="340"/>
      <c r="V26" s="340"/>
    </row>
    <row r="27" spans="1:22">
      <c r="A27" s="147"/>
      <c r="B27" s="197" t="s">
        <v>238</v>
      </c>
      <c r="C27" s="198">
        <v>42.99</v>
      </c>
      <c r="D27" s="199">
        <v>21.99</v>
      </c>
      <c r="E27" s="166"/>
      <c r="F27" s="166"/>
      <c r="G27" s="166"/>
      <c r="H27" s="166"/>
      <c r="I27" s="163">
        <v>0.207647</v>
      </c>
      <c r="J27" s="199"/>
      <c r="K27" s="199"/>
      <c r="L27" s="200"/>
      <c r="M27" s="200"/>
      <c r="N27" s="200"/>
      <c r="O27" s="201" t="s">
        <v>202</v>
      </c>
      <c r="P27" s="201">
        <v>0.06</v>
      </c>
      <c r="Q27" s="202" t="s">
        <v>203</v>
      </c>
      <c r="R27" s="202" t="s">
        <v>204</v>
      </c>
      <c r="S27" s="202" t="s">
        <v>204</v>
      </c>
      <c r="T27" s="202" t="s">
        <v>205</v>
      </c>
      <c r="U27" s="203">
        <v>0.11778082191780823</v>
      </c>
      <c r="V27" s="199">
        <v>6.0246575342465747E-2</v>
      </c>
    </row>
    <row r="28" spans="1:22">
      <c r="A28" s="147"/>
      <c r="B28" s="204" t="s">
        <v>239</v>
      </c>
      <c r="C28" s="198">
        <v>42.99</v>
      </c>
      <c r="D28" s="199">
        <v>21.99</v>
      </c>
      <c r="E28" s="166"/>
      <c r="F28" s="166"/>
      <c r="G28" s="166"/>
      <c r="H28" s="166"/>
      <c r="I28" s="163">
        <v>0.24809999999999999</v>
      </c>
      <c r="J28" s="199">
        <v>0.21479999999999999</v>
      </c>
      <c r="K28" s="199">
        <v>0.20449999999999999</v>
      </c>
      <c r="L28" s="205"/>
      <c r="M28" s="205"/>
      <c r="N28" s="205"/>
      <c r="O28" s="206" t="s">
        <v>202</v>
      </c>
      <c r="P28" s="206">
        <v>0.06</v>
      </c>
      <c r="Q28" s="207" t="s">
        <v>203</v>
      </c>
      <c r="R28" s="207" t="s">
        <v>204</v>
      </c>
      <c r="S28" s="207" t="s">
        <v>204</v>
      </c>
      <c r="T28" s="207" t="s">
        <v>205</v>
      </c>
      <c r="U28" s="208">
        <v>0.11778082191780823</v>
      </c>
      <c r="V28" s="199">
        <v>6.0246575342465747E-2</v>
      </c>
    </row>
    <row r="29" spans="1:22">
      <c r="A29" s="147"/>
      <c r="B29" s="204" t="s">
        <v>240</v>
      </c>
      <c r="C29" s="198">
        <v>39.49</v>
      </c>
      <c r="D29" s="198">
        <v>16.989999999999998</v>
      </c>
      <c r="E29" s="166"/>
      <c r="F29" s="166"/>
      <c r="G29" s="166"/>
      <c r="H29" s="166"/>
      <c r="I29" s="209">
        <v>0.15375</v>
      </c>
      <c r="J29" s="158"/>
      <c r="K29" s="158"/>
      <c r="L29" s="205"/>
      <c r="M29" s="205"/>
      <c r="N29" s="205"/>
      <c r="O29" s="206" t="s">
        <v>208</v>
      </c>
      <c r="P29" s="206">
        <v>0.06</v>
      </c>
      <c r="Q29" s="207" t="s">
        <v>203</v>
      </c>
      <c r="R29" s="207" t="s">
        <v>204</v>
      </c>
      <c r="S29" s="207" t="s">
        <v>204</v>
      </c>
      <c r="T29" s="207" t="s">
        <v>205</v>
      </c>
      <c r="U29" s="210">
        <v>0.10819178082191781</v>
      </c>
      <c r="V29" s="158">
        <v>4.6547945205479446E-2</v>
      </c>
    </row>
    <row r="30" spans="1:22">
      <c r="A30" s="147"/>
      <c r="B30" s="204" t="s">
        <v>241</v>
      </c>
      <c r="C30" s="157">
        <v>31</v>
      </c>
      <c r="D30" s="158">
        <v>17.989999999999998</v>
      </c>
      <c r="E30" s="166"/>
      <c r="F30" s="166"/>
      <c r="G30" s="166"/>
      <c r="H30" s="166"/>
      <c r="I30" s="209">
        <v>0.19687499999999999</v>
      </c>
      <c r="J30" s="211"/>
      <c r="K30" s="211"/>
      <c r="L30" s="153"/>
      <c r="M30" s="153"/>
      <c r="N30" s="153"/>
      <c r="O30" s="154" t="s">
        <v>208</v>
      </c>
      <c r="P30" s="154">
        <v>0.06</v>
      </c>
      <c r="Q30" s="155" t="s">
        <v>210</v>
      </c>
      <c r="R30" s="155" t="s">
        <v>204</v>
      </c>
      <c r="S30" s="155" t="s">
        <v>204</v>
      </c>
      <c r="T30" s="155" t="s">
        <v>205</v>
      </c>
      <c r="U30" s="210">
        <v>8.4931506849315067E-2</v>
      </c>
      <c r="V30" s="158">
        <v>4.9287671232876709E-2</v>
      </c>
    </row>
    <row r="31" spans="1:22">
      <c r="A31" s="147"/>
      <c r="B31" s="167" t="s">
        <v>242</v>
      </c>
      <c r="C31" s="168">
        <v>39.49</v>
      </c>
      <c r="D31" s="169">
        <v>16.989999999999998</v>
      </c>
      <c r="E31" s="212"/>
      <c r="F31" s="212"/>
      <c r="G31" s="212"/>
      <c r="H31" s="212"/>
      <c r="I31" s="213">
        <v>0.17487499999999997</v>
      </c>
      <c r="J31" s="172"/>
      <c r="K31" s="186"/>
      <c r="L31" s="182"/>
      <c r="M31" s="172"/>
      <c r="N31" s="172"/>
      <c r="O31" s="173" t="s">
        <v>208</v>
      </c>
      <c r="P31" s="173">
        <v>0.06</v>
      </c>
      <c r="Q31" s="174" t="s">
        <v>212</v>
      </c>
      <c r="R31" s="174" t="s">
        <v>205</v>
      </c>
      <c r="S31" s="174" t="s">
        <v>205</v>
      </c>
      <c r="T31" s="174" t="s">
        <v>205</v>
      </c>
      <c r="U31" s="214">
        <v>0.10819178082191781</v>
      </c>
      <c r="V31" s="169">
        <v>4.6547945205479446E-2</v>
      </c>
    </row>
    <row r="32" spans="1:22">
      <c r="A32" s="147"/>
      <c r="B32" s="167" t="s">
        <v>243</v>
      </c>
      <c r="C32" s="168">
        <v>39.49</v>
      </c>
      <c r="D32" s="169">
        <v>17.989999999999998</v>
      </c>
      <c r="E32" s="212"/>
      <c r="F32" s="212"/>
      <c r="G32" s="212"/>
      <c r="H32" s="212"/>
      <c r="I32" s="213">
        <v>0.19187499999999999</v>
      </c>
      <c r="J32" s="172"/>
      <c r="K32" s="186"/>
      <c r="L32" s="182"/>
      <c r="M32" s="172"/>
      <c r="N32" s="172"/>
      <c r="O32" s="173" t="s">
        <v>214</v>
      </c>
      <c r="P32" s="173">
        <v>0.06</v>
      </c>
      <c r="Q32" s="174" t="s">
        <v>212</v>
      </c>
      <c r="R32" s="174" t="s">
        <v>205</v>
      </c>
      <c r="S32" s="174" t="s">
        <v>205</v>
      </c>
      <c r="T32" s="174" t="s">
        <v>205</v>
      </c>
      <c r="U32" s="214">
        <v>0.10819178082191781</v>
      </c>
      <c r="V32" s="169">
        <v>4.9287671232876709E-2</v>
      </c>
    </row>
    <row r="33" spans="1:22">
      <c r="A33" s="147"/>
      <c r="B33" s="167" t="s">
        <v>244</v>
      </c>
      <c r="C33" s="176">
        <v>39.49</v>
      </c>
      <c r="D33" s="176">
        <v>17.989999999999998</v>
      </c>
      <c r="E33" s="178"/>
      <c r="F33" s="177"/>
      <c r="G33" s="178"/>
      <c r="H33" s="212"/>
      <c r="I33" s="213">
        <v>0.18111099999999999</v>
      </c>
      <c r="J33" s="176"/>
      <c r="K33" s="186"/>
      <c r="L33" s="172"/>
      <c r="M33" s="172"/>
      <c r="N33" s="172"/>
      <c r="O33" s="173" t="s">
        <v>216</v>
      </c>
      <c r="P33" s="173">
        <v>0.06</v>
      </c>
      <c r="Q33" s="174" t="s">
        <v>212</v>
      </c>
      <c r="R33" s="174" t="s">
        <v>205</v>
      </c>
      <c r="S33" s="174" t="s">
        <v>205</v>
      </c>
      <c r="T33" s="174" t="s">
        <v>205</v>
      </c>
      <c r="U33" s="214">
        <v>0.10819178082191781</v>
      </c>
      <c r="V33" s="168">
        <v>4.9287671232876709E-2</v>
      </c>
    </row>
    <row r="34" spans="1:22">
      <c r="A34" s="147"/>
      <c r="B34" s="167" t="s">
        <v>245</v>
      </c>
      <c r="C34" s="176">
        <v>39.49</v>
      </c>
      <c r="D34" s="176">
        <v>17.989999999999998</v>
      </c>
      <c r="E34" s="178"/>
      <c r="F34" s="177"/>
      <c r="G34" s="178"/>
      <c r="H34" s="212"/>
      <c r="I34" s="213">
        <v>0.24526000000000001</v>
      </c>
      <c r="J34" s="176">
        <v>0.12263000000000002</v>
      </c>
      <c r="K34" s="186"/>
      <c r="L34" s="172"/>
      <c r="M34" s="172"/>
      <c r="N34" s="172"/>
      <c r="O34" s="173" t="s">
        <v>208</v>
      </c>
      <c r="P34" s="173">
        <v>0.06</v>
      </c>
      <c r="Q34" s="174" t="s">
        <v>220</v>
      </c>
      <c r="R34" s="174" t="s">
        <v>205</v>
      </c>
      <c r="S34" s="174" t="s">
        <v>205</v>
      </c>
      <c r="T34" s="174" t="s">
        <v>205</v>
      </c>
      <c r="U34" s="214">
        <v>0.10819178082191781</v>
      </c>
      <c r="V34" s="168">
        <v>4.9287671232876709E-2</v>
      </c>
    </row>
    <row r="35" spans="1:22">
      <c r="A35" s="147"/>
      <c r="B35" s="167" t="s">
        <v>246</v>
      </c>
      <c r="C35" s="176">
        <v>39.49</v>
      </c>
      <c r="D35" s="176">
        <v>17.989999999999998</v>
      </c>
      <c r="E35" s="178"/>
      <c r="F35" s="177"/>
      <c r="G35" s="178"/>
      <c r="H35" s="212"/>
      <c r="I35" s="213">
        <v>0.217</v>
      </c>
      <c r="J35" s="176"/>
      <c r="K35" s="186"/>
      <c r="L35" s="172"/>
      <c r="M35" s="172"/>
      <c r="N35" s="172"/>
      <c r="O35" s="173" t="s">
        <v>247</v>
      </c>
      <c r="P35" s="173">
        <v>0.06</v>
      </c>
      <c r="Q35" s="174" t="s">
        <v>212</v>
      </c>
      <c r="R35" s="174" t="s">
        <v>205</v>
      </c>
      <c r="S35" s="174" t="s">
        <v>205</v>
      </c>
      <c r="T35" s="174" t="s">
        <v>205</v>
      </c>
      <c r="U35" s="214">
        <v>0.10819178082191781</v>
      </c>
      <c r="V35" s="168">
        <v>4.9287671232876709E-2</v>
      </c>
    </row>
    <row r="36" spans="1:22">
      <c r="A36" s="147"/>
      <c r="B36" s="167" t="s">
        <v>248</v>
      </c>
      <c r="C36" s="168">
        <v>39.49</v>
      </c>
      <c r="D36" s="169">
        <v>17.989999999999998</v>
      </c>
      <c r="E36" s="212"/>
      <c r="F36" s="212"/>
      <c r="G36" s="212"/>
      <c r="H36" s="212"/>
      <c r="I36" s="213">
        <v>0.24982200000000002</v>
      </c>
      <c r="J36" s="176">
        <v>0.12491100000000001</v>
      </c>
      <c r="K36" s="186"/>
      <c r="L36" s="172"/>
      <c r="M36" s="215" t="s">
        <v>44</v>
      </c>
      <c r="N36" s="172" t="s">
        <v>44</v>
      </c>
      <c r="O36" s="173" t="s">
        <v>224</v>
      </c>
      <c r="P36" s="173">
        <v>0.06</v>
      </c>
      <c r="Q36" s="174" t="s">
        <v>212</v>
      </c>
      <c r="R36" s="174" t="s">
        <v>205</v>
      </c>
      <c r="S36" s="174" t="s">
        <v>205</v>
      </c>
      <c r="T36" s="174" t="s">
        <v>205</v>
      </c>
      <c r="U36" s="214">
        <v>0.10819178082191781</v>
      </c>
      <c r="V36" s="168">
        <v>4.9287671232876709E-2</v>
      </c>
    </row>
    <row r="37" spans="1:22">
      <c r="A37" s="147"/>
      <c r="B37" s="167" t="s">
        <v>249</v>
      </c>
      <c r="C37" s="168">
        <v>42.49</v>
      </c>
      <c r="D37" s="169">
        <v>18.989999999999998</v>
      </c>
      <c r="E37" s="212"/>
      <c r="F37" s="212"/>
      <c r="G37" s="212"/>
      <c r="H37" s="212"/>
      <c r="I37" s="213">
        <v>0.15913099999999999</v>
      </c>
      <c r="J37" s="186"/>
      <c r="K37" s="185"/>
      <c r="L37" s="172"/>
      <c r="M37" s="172" t="s">
        <v>44</v>
      </c>
      <c r="N37" s="172" t="s">
        <v>44</v>
      </c>
      <c r="O37" s="173" t="s">
        <v>226</v>
      </c>
      <c r="P37" s="173">
        <v>0.06</v>
      </c>
      <c r="Q37" s="174" t="s">
        <v>227</v>
      </c>
      <c r="R37" s="174" t="s">
        <v>205</v>
      </c>
      <c r="S37" s="174" t="s">
        <v>205</v>
      </c>
      <c r="T37" s="174" t="s">
        <v>205</v>
      </c>
      <c r="U37" s="214">
        <v>0.11641095890410959</v>
      </c>
      <c r="V37" s="168">
        <v>5.2027397260273965E-2</v>
      </c>
    </row>
    <row r="38" spans="1:22">
      <c r="A38" s="147"/>
      <c r="B38" s="167" t="s">
        <v>250</v>
      </c>
      <c r="C38" s="168">
        <v>39.49</v>
      </c>
      <c r="D38" s="169">
        <v>17.989999999999998</v>
      </c>
      <c r="E38" s="212"/>
      <c r="F38" s="212"/>
      <c r="G38" s="212"/>
      <c r="H38" s="212"/>
      <c r="I38" s="216">
        <v>0.24399999999999999</v>
      </c>
      <c r="J38" s="217">
        <v>0.122</v>
      </c>
      <c r="K38" s="172"/>
      <c r="L38" s="172"/>
      <c r="M38" s="172" t="s">
        <v>44</v>
      </c>
      <c r="N38" s="172" t="s">
        <v>44</v>
      </c>
      <c r="O38" s="173" t="s">
        <v>229</v>
      </c>
      <c r="P38" s="173">
        <v>0.06</v>
      </c>
      <c r="Q38" s="174" t="s">
        <v>203</v>
      </c>
      <c r="R38" s="174" t="s">
        <v>205</v>
      </c>
      <c r="S38" s="174" t="s">
        <v>205</v>
      </c>
      <c r="T38" s="174" t="s">
        <v>205</v>
      </c>
      <c r="U38" s="218">
        <v>0.10819178082191781</v>
      </c>
      <c r="V38" s="169">
        <v>4.9287671232876709E-2</v>
      </c>
    </row>
    <row r="39" spans="1:22">
      <c r="A39" s="147"/>
      <c r="B39" s="167" t="s">
        <v>251</v>
      </c>
      <c r="C39" s="168">
        <v>39.49</v>
      </c>
      <c r="D39" s="168">
        <v>17.989999999999998</v>
      </c>
      <c r="E39" s="170"/>
      <c r="F39" s="167"/>
      <c r="G39" s="170"/>
      <c r="H39" s="167"/>
      <c r="I39" s="171">
        <v>0.14999899999999999</v>
      </c>
      <c r="J39" s="172"/>
      <c r="K39" s="172"/>
      <c r="L39" s="172"/>
      <c r="M39" s="172"/>
      <c r="N39" s="172"/>
      <c r="O39" s="173" t="s">
        <v>229</v>
      </c>
      <c r="P39" s="173">
        <v>0.06</v>
      </c>
      <c r="Q39" s="174" t="s">
        <v>203</v>
      </c>
      <c r="R39" s="174" t="s">
        <v>205</v>
      </c>
      <c r="S39" s="174" t="s">
        <v>205</v>
      </c>
      <c r="T39" s="174" t="s">
        <v>205</v>
      </c>
      <c r="U39" s="175">
        <v>0.10819178082191781</v>
      </c>
      <c r="V39" s="175">
        <v>4.9287671232876709E-2</v>
      </c>
    </row>
    <row r="40" spans="1:22">
      <c r="A40" s="147"/>
      <c r="B40" s="190" t="s">
        <v>252</v>
      </c>
      <c r="C40" s="219">
        <v>42.49</v>
      </c>
      <c r="D40" s="220">
        <v>16.989999999999998</v>
      </c>
      <c r="E40" s="166"/>
      <c r="F40" s="166"/>
      <c r="G40" s="166"/>
      <c r="H40" s="166"/>
      <c r="I40" s="221">
        <v>0.17319999999999999</v>
      </c>
      <c r="J40" s="161"/>
      <c r="K40" s="161"/>
      <c r="L40" s="161"/>
      <c r="M40" s="161"/>
      <c r="N40" s="161"/>
      <c r="O40" s="193" t="s">
        <v>232</v>
      </c>
      <c r="P40" s="193">
        <v>0.06</v>
      </c>
      <c r="Q40" s="194" t="s">
        <v>203</v>
      </c>
      <c r="R40" s="194" t="s">
        <v>205</v>
      </c>
      <c r="S40" s="194" t="s">
        <v>204</v>
      </c>
      <c r="T40" s="194" t="s">
        <v>205</v>
      </c>
      <c r="U40" s="222">
        <v>0.11641095890410959</v>
      </c>
      <c r="V40" s="223">
        <v>4.6547945205479446E-2</v>
      </c>
    </row>
    <row r="41" spans="1:22">
      <c r="A41" s="147"/>
      <c r="B41" s="190" t="s">
        <v>253</v>
      </c>
      <c r="C41" s="224">
        <v>26.93055</v>
      </c>
      <c r="D41" s="224">
        <v>0.69758799999999999</v>
      </c>
      <c r="E41" s="166"/>
      <c r="F41" s="166"/>
      <c r="G41" s="166"/>
      <c r="H41" s="166"/>
      <c r="I41" s="225">
        <v>0.03</v>
      </c>
      <c r="J41" s="161"/>
      <c r="K41" s="161"/>
      <c r="L41" s="161"/>
      <c r="M41" s="161"/>
      <c r="N41" s="161"/>
      <c r="O41" s="193" t="s">
        <v>229</v>
      </c>
      <c r="P41" s="193" t="s">
        <v>235</v>
      </c>
      <c r="Q41" s="194" t="s">
        <v>203</v>
      </c>
      <c r="R41" s="194" t="s">
        <v>204</v>
      </c>
      <c r="S41" s="194" t="s">
        <v>204</v>
      </c>
      <c r="T41" s="194" t="s">
        <v>205</v>
      </c>
      <c r="U41" s="226">
        <v>7.378232876712329E-2</v>
      </c>
      <c r="V41" s="223">
        <v>1.9112000000000001E-3</v>
      </c>
    </row>
    <row r="42" spans="1:22">
      <c r="A42" s="147"/>
      <c r="B42" s="190" t="s">
        <v>254</v>
      </c>
      <c r="C42" s="224">
        <v>26.93055</v>
      </c>
      <c r="D42" s="224">
        <v>0.69758799999999999</v>
      </c>
      <c r="E42" s="166"/>
      <c r="F42" s="166"/>
      <c r="G42" s="166"/>
      <c r="H42" s="166"/>
      <c r="I42" s="225">
        <v>0.03</v>
      </c>
      <c r="J42" s="161"/>
      <c r="K42" s="161"/>
      <c r="L42" s="161"/>
      <c r="M42" s="161"/>
      <c r="N42" s="161"/>
      <c r="O42" s="193" t="s">
        <v>229</v>
      </c>
      <c r="P42" s="193" t="s">
        <v>235</v>
      </c>
      <c r="Q42" s="194" t="s">
        <v>203</v>
      </c>
      <c r="R42" s="194" t="s">
        <v>204</v>
      </c>
      <c r="S42" s="194" t="s">
        <v>204</v>
      </c>
      <c r="T42" s="194" t="s">
        <v>205</v>
      </c>
      <c r="U42" s="226">
        <v>7.378232876712329E-2</v>
      </c>
      <c r="V42" s="223">
        <v>1.9112000000000001E-3</v>
      </c>
    </row>
    <row r="43" spans="1:22">
      <c r="A43" s="147"/>
      <c r="B43" s="227" t="s">
        <v>255</v>
      </c>
      <c r="C43" s="228">
        <v>60.49</v>
      </c>
      <c r="D43" s="229">
        <v>2.48</v>
      </c>
      <c r="E43" s="230"/>
      <c r="F43" s="230"/>
      <c r="G43" s="230"/>
      <c r="H43" s="230"/>
      <c r="I43" s="231">
        <v>0.28809999999999997</v>
      </c>
      <c r="J43" s="232">
        <v>0.25479999999999997</v>
      </c>
      <c r="K43" s="232">
        <v>0.2445</v>
      </c>
      <c r="L43" s="233" t="s">
        <v>44</v>
      </c>
      <c r="M43" s="233" t="s">
        <v>44</v>
      </c>
      <c r="N43" s="233" t="s">
        <v>44</v>
      </c>
      <c r="O43" s="234" t="s">
        <v>229</v>
      </c>
      <c r="P43" s="234">
        <v>0.06</v>
      </c>
      <c r="Q43" s="235" t="s">
        <v>203</v>
      </c>
      <c r="R43" s="235" t="s">
        <v>204</v>
      </c>
      <c r="S43" s="235" t="s">
        <v>204</v>
      </c>
      <c r="T43" s="235" t="s">
        <v>205</v>
      </c>
      <c r="U43" s="236">
        <v>0.16572602739726028</v>
      </c>
      <c r="V43" s="232">
        <v>6.7945205479452058E-3</v>
      </c>
    </row>
    <row r="44" spans="1:22">
      <c r="A44" s="147"/>
      <c r="B44" s="237"/>
      <c r="C44" s="237"/>
      <c r="D44" s="237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8"/>
      <c r="P44" s="238"/>
      <c r="Q44" s="239"/>
      <c r="R44" s="239"/>
      <c r="S44" s="239"/>
      <c r="T44" s="239"/>
      <c r="U44" s="240"/>
      <c r="V44" s="241"/>
    </row>
    <row r="45" spans="1:22" ht="26.25">
      <c r="A45" s="135"/>
      <c r="B45" s="331" t="s">
        <v>256</v>
      </c>
      <c r="C45" s="331"/>
      <c r="D45" s="331"/>
      <c r="E45" s="331"/>
      <c r="F45" s="331"/>
      <c r="G45" s="331"/>
      <c r="H45" s="331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1"/>
      <c r="T45" s="331"/>
      <c r="U45" s="331"/>
      <c r="V45" s="331"/>
    </row>
    <row r="46" spans="1:22">
      <c r="A46" s="147"/>
      <c r="B46" s="242" t="s">
        <v>257</v>
      </c>
      <c r="C46" s="243">
        <v>21.597514</v>
      </c>
      <c r="D46" s="243">
        <v>11.670514999999998</v>
      </c>
      <c r="E46" s="243">
        <v>6.9522999999999993</v>
      </c>
      <c r="F46" s="243">
        <v>5.3980839999999999</v>
      </c>
      <c r="G46" s="243">
        <v>3.2589859999999997</v>
      </c>
      <c r="H46" s="243">
        <v>2.7574069999999997</v>
      </c>
      <c r="I46" s="244">
        <v>0.184</v>
      </c>
      <c r="J46" s="245"/>
      <c r="K46" s="245"/>
      <c r="L46" s="245"/>
      <c r="M46" s="245"/>
      <c r="N46" s="245"/>
      <c r="O46" s="246" t="s">
        <v>258</v>
      </c>
      <c r="P46" s="246">
        <v>0.03</v>
      </c>
      <c r="Q46" s="247" t="s">
        <v>203</v>
      </c>
      <c r="R46" s="247" t="s">
        <v>205</v>
      </c>
      <c r="S46" s="247" t="s">
        <v>204</v>
      </c>
      <c r="T46" s="247" t="s">
        <v>205</v>
      </c>
      <c r="U46" s="248"/>
      <c r="V46" s="248"/>
    </row>
    <row r="47" spans="1:22">
      <c r="A47" s="147"/>
      <c r="B47" s="242" t="s">
        <v>259</v>
      </c>
      <c r="C47" s="243">
        <v>21.597514</v>
      </c>
      <c r="D47" s="243">
        <v>11.670514999999998</v>
      </c>
      <c r="E47" s="243">
        <v>6.9522999999999993</v>
      </c>
      <c r="F47" s="243">
        <v>5.3980839999999999</v>
      </c>
      <c r="G47" s="243">
        <v>3.2589859999999997</v>
      </c>
      <c r="H47" s="243">
        <v>2.7574069999999997</v>
      </c>
      <c r="I47" s="244">
        <v>0.191</v>
      </c>
      <c r="J47" s="245"/>
      <c r="K47" s="245"/>
      <c r="L47" s="245"/>
      <c r="M47" s="245"/>
      <c r="N47" s="245"/>
      <c r="O47" s="246" t="s">
        <v>260</v>
      </c>
      <c r="P47" s="246">
        <v>0.03</v>
      </c>
      <c r="Q47" s="247" t="s">
        <v>227</v>
      </c>
      <c r="R47" s="247" t="s">
        <v>205</v>
      </c>
      <c r="S47" s="247" t="s">
        <v>204</v>
      </c>
      <c r="T47" s="247" t="s">
        <v>205</v>
      </c>
      <c r="U47" s="248"/>
      <c r="V47" s="248"/>
    </row>
    <row r="48" spans="1:22">
      <c r="A48" s="147"/>
      <c r="B48" s="242" t="s">
        <v>261</v>
      </c>
      <c r="C48" s="243">
        <v>21.597514</v>
      </c>
      <c r="D48" s="243">
        <v>14.670515</v>
      </c>
      <c r="E48" s="243">
        <v>10.952300000000001</v>
      </c>
      <c r="F48" s="243">
        <v>10.398083999999999</v>
      </c>
      <c r="G48" s="243">
        <v>9.2589860000000002</v>
      </c>
      <c r="H48" s="243">
        <v>8.7574070000000006</v>
      </c>
      <c r="I48" s="244">
        <v>0.16800000000000001</v>
      </c>
      <c r="J48" s="245"/>
      <c r="K48" s="245"/>
      <c r="L48" s="245"/>
      <c r="M48" s="245"/>
      <c r="N48" s="245"/>
      <c r="O48" s="246" t="s">
        <v>262</v>
      </c>
      <c r="P48" s="246">
        <v>0.03</v>
      </c>
      <c r="Q48" s="247" t="s">
        <v>227</v>
      </c>
      <c r="R48" s="247" t="s">
        <v>205</v>
      </c>
      <c r="S48" s="247" t="s">
        <v>204</v>
      </c>
      <c r="T48" s="247" t="s">
        <v>205</v>
      </c>
      <c r="U48" s="248"/>
      <c r="V48" s="248"/>
    </row>
    <row r="49" spans="1:22">
      <c r="A49" s="147"/>
      <c r="B49" s="242" t="s">
        <v>263</v>
      </c>
      <c r="C49" s="243">
        <v>21.597514</v>
      </c>
      <c r="D49" s="243">
        <v>11.670514999999998</v>
      </c>
      <c r="E49" s="243">
        <v>6.9522999999999993</v>
      </c>
      <c r="F49" s="243">
        <v>5.3980839999999999</v>
      </c>
      <c r="G49" s="243">
        <v>3.2589859999999997</v>
      </c>
      <c r="H49" s="243">
        <v>2.7574069999999997</v>
      </c>
      <c r="I49" s="244">
        <v>0.26900000000000002</v>
      </c>
      <c r="J49" s="245">
        <v>0.16600000000000001</v>
      </c>
      <c r="K49" s="245"/>
      <c r="L49" s="245"/>
      <c r="M49" s="245"/>
      <c r="N49" s="245"/>
      <c r="O49" s="246" t="s">
        <v>258</v>
      </c>
      <c r="P49" s="246">
        <v>0.03</v>
      </c>
      <c r="Q49" s="247" t="s">
        <v>203</v>
      </c>
      <c r="R49" s="247" t="s">
        <v>205</v>
      </c>
      <c r="S49" s="247" t="s">
        <v>204</v>
      </c>
      <c r="T49" s="247" t="s">
        <v>205</v>
      </c>
      <c r="U49" s="248"/>
      <c r="V49" s="248"/>
    </row>
    <row r="50" spans="1:22">
      <c r="A50" s="147"/>
      <c r="B50" s="242" t="s">
        <v>264</v>
      </c>
      <c r="C50" s="243">
        <v>21.597514</v>
      </c>
      <c r="D50" s="243">
        <v>11.670514999999998</v>
      </c>
      <c r="E50" s="243">
        <v>6.9522999999999993</v>
      </c>
      <c r="F50" s="243">
        <v>5.3980839999999999</v>
      </c>
      <c r="G50" s="243">
        <v>3.2589859999999997</v>
      </c>
      <c r="H50" s="243">
        <v>2.7574069999999997</v>
      </c>
      <c r="I50" s="244">
        <v>0.26900000000000002</v>
      </c>
      <c r="J50" s="245">
        <v>0.13500000000000001</v>
      </c>
      <c r="K50" s="245"/>
      <c r="L50" s="245"/>
      <c r="M50" s="245"/>
      <c r="N50" s="245"/>
      <c r="O50" s="246" t="s">
        <v>258</v>
      </c>
      <c r="P50" s="246">
        <v>0.03</v>
      </c>
      <c r="Q50" s="247" t="s">
        <v>203</v>
      </c>
      <c r="R50" s="247" t="s">
        <v>205</v>
      </c>
      <c r="S50" s="247" t="s">
        <v>204</v>
      </c>
      <c r="T50" s="247" t="s">
        <v>205</v>
      </c>
      <c r="U50" s="248"/>
      <c r="V50" s="248"/>
    </row>
    <row r="51" spans="1:22">
      <c r="A51" s="147"/>
      <c r="B51" s="242" t="s">
        <v>265</v>
      </c>
      <c r="C51" s="243">
        <v>8.75</v>
      </c>
      <c r="D51" s="243">
        <v>8.75</v>
      </c>
      <c r="E51" s="243">
        <v>8.75</v>
      </c>
      <c r="F51" s="243">
        <v>8.75</v>
      </c>
      <c r="G51" s="243">
        <v>8.75</v>
      </c>
      <c r="H51" s="243">
        <v>8.75</v>
      </c>
      <c r="I51" s="244">
        <v>0.19900000000000001</v>
      </c>
      <c r="J51" s="245"/>
      <c r="K51" s="245"/>
      <c r="L51" s="245"/>
      <c r="M51" s="245"/>
      <c r="N51" s="245"/>
      <c r="O51" s="246" t="s">
        <v>266</v>
      </c>
      <c r="P51" s="246">
        <v>0.03</v>
      </c>
      <c r="Q51" s="247" t="s">
        <v>203</v>
      </c>
      <c r="R51" s="247" t="s">
        <v>205</v>
      </c>
      <c r="S51" s="247" t="s">
        <v>204</v>
      </c>
      <c r="T51" s="247" t="s">
        <v>205</v>
      </c>
      <c r="U51" s="248"/>
      <c r="V51" s="248"/>
    </row>
    <row r="52" spans="1:22">
      <c r="A52" s="147"/>
      <c r="B52" s="249" t="s">
        <v>267</v>
      </c>
      <c r="C52" s="250">
        <v>24.491634999999999</v>
      </c>
      <c r="D52" s="250">
        <v>12.696152</v>
      </c>
      <c r="E52" s="250">
        <v>9.5044079999999997</v>
      </c>
      <c r="F52" s="250">
        <v>7.0344860000000002</v>
      </c>
      <c r="G52" s="250">
        <v>5.3704159999999996</v>
      </c>
      <c r="H52" s="250">
        <v>3.9898529999999996</v>
      </c>
      <c r="I52" s="251">
        <v>0.19900000000000001</v>
      </c>
      <c r="J52" s="252"/>
      <c r="K52" s="253"/>
      <c r="L52" s="253"/>
      <c r="M52" s="253"/>
      <c r="N52" s="253"/>
      <c r="O52" s="254" t="s">
        <v>268</v>
      </c>
      <c r="P52" s="254">
        <v>0.03</v>
      </c>
      <c r="Q52" s="255" t="s">
        <v>227</v>
      </c>
      <c r="R52" s="255" t="s">
        <v>205</v>
      </c>
      <c r="S52" s="255" t="s">
        <v>204</v>
      </c>
      <c r="T52" s="255" t="s">
        <v>205</v>
      </c>
      <c r="U52" s="248"/>
      <c r="V52" s="240"/>
    </row>
    <row r="53" spans="1:22">
      <c r="A53" s="147"/>
      <c r="B53" s="249" t="s">
        <v>269</v>
      </c>
      <c r="C53" s="250">
        <v>21.597514</v>
      </c>
      <c r="D53" s="250">
        <v>11.670514999999998</v>
      </c>
      <c r="E53" s="250">
        <v>6.9522999999999993</v>
      </c>
      <c r="F53" s="250">
        <v>5.3980839999999999</v>
      </c>
      <c r="G53" s="250">
        <v>3.2589859999999997</v>
      </c>
      <c r="H53" s="250">
        <v>2.7574069999999997</v>
      </c>
      <c r="I53" s="251">
        <v>0.17899999999999999</v>
      </c>
      <c r="J53" s="252"/>
      <c r="K53" s="253"/>
      <c r="L53" s="253"/>
      <c r="M53" s="253"/>
      <c r="N53" s="253"/>
      <c r="O53" s="254" t="s">
        <v>268</v>
      </c>
      <c r="P53" s="254">
        <v>0.03</v>
      </c>
      <c r="Q53" s="255" t="s">
        <v>227</v>
      </c>
      <c r="R53" s="255" t="s">
        <v>205</v>
      </c>
      <c r="S53" s="255" t="s">
        <v>204</v>
      </c>
      <c r="T53" s="255" t="s">
        <v>205</v>
      </c>
      <c r="U53" s="248"/>
      <c r="V53" s="240"/>
    </row>
    <row r="54" spans="1:22">
      <c r="A54" s="147"/>
      <c r="B54" s="249" t="s">
        <v>270</v>
      </c>
      <c r="C54" s="250">
        <v>21.597514</v>
      </c>
      <c r="D54" s="250">
        <v>11.670514999999998</v>
      </c>
      <c r="E54" s="250">
        <v>6.9522999999999993</v>
      </c>
      <c r="F54" s="250">
        <v>5.3980839999999999</v>
      </c>
      <c r="G54" s="250">
        <v>3.2589859999999997</v>
      </c>
      <c r="H54" s="250">
        <v>2.7574069999999997</v>
      </c>
      <c r="I54" s="251">
        <v>0.17399999999999999</v>
      </c>
      <c r="J54" s="252"/>
      <c r="K54" s="253"/>
      <c r="L54" s="253"/>
      <c r="M54" s="253"/>
      <c r="N54" s="253"/>
      <c r="O54" s="254" t="s">
        <v>268</v>
      </c>
      <c r="P54" s="254">
        <v>0.03</v>
      </c>
      <c r="Q54" s="255" t="s">
        <v>227</v>
      </c>
      <c r="R54" s="255" t="s">
        <v>205</v>
      </c>
      <c r="S54" s="255" t="s">
        <v>204</v>
      </c>
      <c r="T54" s="255" t="s">
        <v>205</v>
      </c>
      <c r="U54" s="248"/>
      <c r="V54" s="240"/>
    </row>
    <row r="55" spans="1:22">
      <c r="A55" s="147"/>
      <c r="B55" s="242" t="s">
        <v>271</v>
      </c>
      <c r="C55" s="256">
        <v>22.702863999999998</v>
      </c>
      <c r="D55" s="256">
        <v>12.072887</v>
      </c>
      <c r="E55" s="256">
        <v>7.8596189999999995</v>
      </c>
      <c r="F55" s="256">
        <v>5.7836460000000001</v>
      </c>
      <c r="G55" s="256">
        <v>3.4655429999999998</v>
      </c>
      <c r="H55" s="256">
        <v>2.4198929999999996</v>
      </c>
      <c r="I55" s="244">
        <v>0.29599999999999999</v>
      </c>
      <c r="J55" s="257">
        <v>0.03</v>
      </c>
      <c r="K55" s="245"/>
      <c r="L55" s="245"/>
      <c r="M55" s="245"/>
      <c r="N55" s="258"/>
      <c r="O55" s="246" t="s">
        <v>229</v>
      </c>
      <c r="P55" s="246">
        <v>0.03</v>
      </c>
      <c r="Q55" s="247" t="s">
        <v>203</v>
      </c>
      <c r="R55" s="247" t="s">
        <v>205</v>
      </c>
      <c r="S55" s="247" t="s">
        <v>205</v>
      </c>
      <c r="T55" s="247" t="s">
        <v>205</v>
      </c>
      <c r="U55" s="248"/>
      <c r="V55" s="248"/>
    </row>
    <row r="56" spans="1:22">
      <c r="A56" s="147"/>
      <c r="B56" s="242" t="s">
        <v>272</v>
      </c>
      <c r="C56" s="259">
        <v>22.702863999999998</v>
      </c>
      <c r="D56" s="259">
        <v>12.072887</v>
      </c>
      <c r="E56" s="259">
        <v>7.8596189999999995</v>
      </c>
      <c r="F56" s="259">
        <v>5.7836460000000001</v>
      </c>
      <c r="G56" s="259">
        <v>3.4655429999999998</v>
      </c>
      <c r="H56" s="259">
        <v>2.4198929999999996</v>
      </c>
      <c r="I56" s="244">
        <v>0.27100000000000002</v>
      </c>
      <c r="J56" s="245">
        <v>8.5999999999999993E-2</v>
      </c>
      <c r="K56" s="245"/>
      <c r="L56" s="245"/>
      <c r="M56" s="245"/>
      <c r="N56" s="245"/>
      <c r="O56" s="246" t="s">
        <v>229</v>
      </c>
      <c r="P56" s="246">
        <v>0.03</v>
      </c>
      <c r="Q56" s="247" t="s">
        <v>203</v>
      </c>
      <c r="R56" s="247" t="s">
        <v>204</v>
      </c>
      <c r="S56" s="247" t="s">
        <v>204</v>
      </c>
      <c r="T56" s="247" t="s">
        <v>205</v>
      </c>
      <c r="U56" s="248"/>
      <c r="V56" s="248"/>
    </row>
    <row r="57" spans="1:22">
      <c r="A57" s="147"/>
      <c r="B57" s="190" t="s">
        <v>273</v>
      </c>
      <c r="C57" s="195">
        <v>24.491634999999999</v>
      </c>
      <c r="D57" s="195">
        <v>12.696152</v>
      </c>
      <c r="E57" s="195">
        <v>9.5044079999999997</v>
      </c>
      <c r="F57" s="195">
        <v>7.0344860000000002</v>
      </c>
      <c r="G57" s="195">
        <v>5.3704159999999996</v>
      </c>
      <c r="H57" s="195">
        <v>3.9898529999999996</v>
      </c>
      <c r="I57" s="196">
        <v>0.28483199999999997</v>
      </c>
      <c r="J57" s="161">
        <v>0.25506799999999996</v>
      </c>
      <c r="K57" s="161">
        <v>0.227022</v>
      </c>
      <c r="L57" s="161">
        <v>0.210872</v>
      </c>
      <c r="M57" s="161">
        <v>0.173647</v>
      </c>
      <c r="N57" s="161">
        <v>0.18548600000000001</v>
      </c>
      <c r="O57" s="193" t="s">
        <v>274</v>
      </c>
      <c r="P57" s="193">
        <v>0.05</v>
      </c>
      <c r="Q57" s="194" t="s">
        <v>203</v>
      </c>
      <c r="R57" s="194" t="s">
        <v>204</v>
      </c>
      <c r="S57" s="194" t="s">
        <v>204</v>
      </c>
      <c r="T57" s="194" t="s">
        <v>205</v>
      </c>
      <c r="U57" s="240"/>
      <c r="V57" s="240"/>
    </row>
    <row r="58" spans="1:22">
      <c r="A58" s="147"/>
      <c r="B58" s="190" t="s">
        <v>275</v>
      </c>
      <c r="C58" s="195">
        <v>22.702863999999998</v>
      </c>
      <c r="D58" s="195">
        <v>12.072887</v>
      </c>
      <c r="E58" s="195">
        <v>7.8596189999999995</v>
      </c>
      <c r="F58" s="195">
        <v>5.7836460000000001</v>
      </c>
      <c r="G58" s="195">
        <v>3.4655429999999998</v>
      </c>
      <c r="H58" s="195">
        <v>2.4198929999999996</v>
      </c>
      <c r="I58" s="196">
        <v>0.27836</v>
      </c>
      <c r="J58" s="161">
        <v>0.24612700000000001</v>
      </c>
      <c r="K58" s="161">
        <v>0.214945</v>
      </c>
      <c r="L58" s="161">
        <v>0.18764500000000001</v>
      </c>
      <c r="M58" s="161">
        <v>0.16539000000000001</v>
      </c>
      <c r="N58" s="161">
        <v>0.174208</v>
      </c>
      <c r="O58" s="193" t="s">
        <v>276</v>
      </c>
      <c r="P58" s="193">
        <v>0.03</v>
      </c>
      <c r="Q58" s="194" t="s">
        <v>203</v>
      </c>
      <c r="R58" s="194" t="s">
        <v>204</v>
      </c>
      <c r="S58" s="194" t="s">
        <v>204</v>
      </c>
      <c r="T58" s="194" t="s">
        <v>205</v>
      </c>
      <c r="U58" s="240"/>
      <c r="V58" s="240"/>
    </row>
    <row r="59" spans="1:22">
      <c r="A59" s="147"/>
      <c r="B59" s="190" t="s">
        <v>277</v>
      </c>
      <c r="C59" s="195">
        <v>20.386008999999998</v>
      </c>
      <c r="D59" s="195">
        <v>10.622166</v>
      </c>
      <c r="E59" s="195">
        <v>4.4848359999999996</v>
      </c>
      <c r="F59" s="195">
        <v>3.8896349999999997</v>
      </c>
      <c r="G59" s="195">
        <v>2.517153</v>
      </c>
      <c r="H59" s="195">
        <v>1.4438009999999999</v>
      </c>
      <c r="I59" s="196">
        <v>0.22642899999999999</v>
      </c>
      <c r="J59" s="161">
        <v>0.188555</v>
      </c>
      <c r="K59" s="161">
        <v>0.160055</v>
      </c>
      <c r="L59" s="161">
        <v>0.139455</v>
      </c>
      <c r="M59" s="161">
        <v>0.12443900000000001</v>
      </c>
      <c r="N59" s="161">
        <v>0.13058500000000001</v>
      </c>
      <c r="O59" s="193" t="s">
        <v>278</v>
      </c>
      <c r="P59" s="193">
        <v>0.01</v>
      </c>
      <c r="Q59" s="194" t="s">
        <v>203</v>
      </c>
      <c r="R59" s="194" t="s">
        <v>204</v>
      </c>
      <c r="S59" s="194" t="s">
        <v>204</v>
      </c>
      <c r="T59" s="194" t="s">
        <v>205</v>
      </c>
      <c r="U59" s="240"/>
      <c r="V59" s="240"/>
    </row>
    <row r="60" spans="1:22">
      <c r="A60" s="147"/>
      <c r="B60" s="190" t="s">
        <v>279</v>
      </c>
      <c r="C60" s="195">
        <v>20.386008999999998</v>
      </c>
      <c r="D60" s="195">
        <v>10.622166</v>
      </c>
      <c r="E60" s="195">
        <v>4.4848359999999996</v>
      </c>
      <c r="F60" s="195">
        <v>3.8896349999999997</v>
      </c>
      <c r="G60" s="195">
        <v>2.517153</v>
      </c>
      <c r="H60" s="195">
        <v>1.4438009999999999</v>
      </c>
      <c r="I60" s="196">
        <v>0.21176500000000001</v>
      </c>
      <c r="J60" s="161">
        <v>0.17804300000000001</v>
      </c>
      <c r="K60" s="161">
        <v>0.15556</v>
      </c>
      <c r="L60" s="161">
        <v>0.13538600000000001</v>
      </c>
      <c r="M60" s="161">
        <v>0.120214</v>
      </c>
      <c r="N60" s="161">
        <v>0.12774099999999999</v>
      </c>
      <c r="O60" s="193" t="s">
        <v>280</v>
      </c>
      <c r="P60" s="193">
        <v>0.01</v>
      </c>
      <c r="Q60" s="194" t="s">
        <v>203</v>
      </c>
      <c r="R60" s="194" t="s">
        <v>204</v>
      </c>
      <c r="S60" s="194" t="s">
        <v>204</v>
      </c>
      <c r="T60" s="194" t="s">
        <v>205</v>
      </c>
      <c r="U60" s="240"/>
      <c r="V60" s="240"/>
    </row>
    <row r="61" spans="1:22">
      <c r="A61" s="147"/>
      <c r="B61" s="190" t="s">
        <v>281</v>
      </c>
      <c r="C61" s="195">
        <v>20.386008999999998</v>
      </c>
      <c r="D61" s="195">
        <v>10.622166</v>
      </c>
      <c r="E61" s="195">
        <v>4.4848359999999996</v>
      </c>
      <c r="F61" s="195">
        <v>3.8896349999999997</v>
      </c>
      <c r="G61" s="195">
        <v>2.517153</v>
      </c>
      <c r="H61" s="195">
        <v>1.4438009999999999</v>
      </c>
      <c r="I61" s="196">
        <v>0.22947500000000001</v>
      </c>
      <c r="J61" s="161">
        <v>0.18732599999999999</v>
      </c>
      <c r="K61" s="161">
        <v>0.15978100000000001</v>
      </c>
      <c r="L61" s="161">
        <v>0.138408</v>
      </c>
      <c r="M61" s="161">
        <v>0.11992999999999999</v>
      </c>
      <c r="N61" s="161">
        <v>0.12884699999999999</v>
      </c>
      <c r="O61" s="193" t="s">
        <v>274</v>
      </c>
      <c r="P61" s="193">
        <v>0.01</v>
      </c>
      <c r="Q61" s="194" t="s">
        <v>203</v>
      </c>
      <c r="R61" s="194" t="s">
        <v>204</v>
      </c>
      <c r="S61" s="194" t="s">
        <v>204</v>
      </c>
      <c r="T61" s="194" t="s">
        <v>205</v>
      </c>
      <c r="U61" s="240"/>
      <c r="V61" s="240"/>
    </row>
    <row r="62" spans="1:22">
      <c r="A62" s="147"/>
      <c r="B62" s="190" t="s">
        <v>282</v>
      </c>
      <c r="C62" s="195">
        <v>22.715388000000001</v>
      </c>
      <c r="D62" s="195">
        <v>14.625064</v>
      </c>
      <c r="E62" s="195">
        <v>9.8777170000000005</v>
      </c>
      <c r="F62" s="195">
        <v>7.6859230000000007</v>
      </c>
      <c r="G62" s="195">
        <v>5.4035489999999999</v>
      </c>
      <c r="H62" s="195">
        <v>3.9831629999999998</v>
      </c>
      <c r="I62" s="196">
        <v>0.22683519999999999</v>
      </c>
      <c r="J62" s="161">
        <v>0.19061939999999997</v>
      </c>
      <c r="K62" s="161">
        <v>0.16512159999999998</v>
      </c>
      <c r="L62" s="161">
        <v>0.13839905</v>
      </c>
      <c r="M62" s="161">
        <v>0.12649885</v>
      </c>
      <c r="N62" s="161">
        <v>0.144486</v>
      </c>
      <c r="O62" s="193" t="s">
        <v>274</v>
      </c>
      <c r="P62" s="193">
        <v>0.03</v>
      </c>
      <c r="Q62" s="194" t="s">
        <v>203</v>
      </c>
      <c r="R62" s="194" t="s">
        <v>204</v>
      </c>
      <c r="S62" s="194" t="s">
        <v>205</v>
      </c>
      <c r="T62" s="194" t="s">
        <v>205</v>
      </c>
      <c r="U62" s="248"/>
      <c r="V62" s="248"/>
    </row>
    <row r="63" spans="1:22">
      <c r="A63" s="147"/>
      <c r="B63" s="190" t="s">
        <v>283</v>
      </c>
      <c r="C63" s="195">
        <v>20.386008999999998</v>
      </c>
      <c r="D63" s="195">
        <v>10.622166</v>
      </c>
      <c r="E63" s="195">
        <v>4.4848359999999996</v>
      </c>
      <c r="F63" s="195">
        <v>3.8896349999999997</v>
      </c>
      <c r="G63" s="195">
        <v>2.517153</v>
      </c>
      <c r="H63" s="195">
        <v>1.4438009999999999</v>
      </c>
      <c r="I63" s="225">
        <v>3.2000000000000001E-2</v>
      </c>
      <c r="J63" s="260"/>
      <c r="K63" s="260"/>
      <c r="L63" s="260"/>
      <c r="M63" s="260"/>
      <c r="N63" s="260"/>
      <c r="O63" s="193" t="s">
        <v>229</v>
      </c>
      <c r="P63" s="193" t="s">
        <v>235</v>
      </c>
      <c r="Q63" s="194" t="s">
        <v>203</v>
      </c>
      <c r="R63" s="194" t="s">
        <v>204</v>
      </c>
      <c r="S63" s="194" t="s">
        <v>204</v>
      </c>
      <c r="T63" s="194" t="s">
        <v>205</v>
      </c>
      <c r="U63" s="240"/>
      <c r="V63" s="240"/>
    </row>
    <row r="64" spans="1:22">
      <c r="A64" s="147"/>
      <c r="B64" s="190" t="s">
        <v>284</v>
      </c>
      <c r="C64" s="195">
        <v>20.386008999999998</v>
      </c>
      <c r="D64" s="195">
        <v>10.622166</v>
      </c>
      <c r="E64" s="195">
        <v>4.4848359999999996</v>
      </c>
      <c r="F64" s="195">
        <v>3.8896349999999997</v>
      </c>
      <c r="G64" s="195">
        <v>2.517153</v>
      </c>
      <c r="H64" s="195">
        <v>1.4438009999999999</v>
      </c>
      <c r="I64" s="225">
        <v>2.5999999999999999E-2</v>
      </c>
      <c r="J64" s="260"/>
      <c r="K64" s="260"/>
      <c r="L64" s="260"/>
      <c r="M64" s="260"/>
      <c r="N64" s="260" t="s">
        <v>44</v>
      </c>
      <c r="O64" s="193" t="s">
        <v>229</v>
      </c>
      <c r="P64" s="193" t="s">
        <v>235</v>
      </c>
      <c r="Q64" s="194" t="s">
        <v>203</v>
      </c>
      <c r="R64" s="194" t="s">
        <v>204</v>
      </c>
      <c r="S64" s="194" t="s">
        <v>204</v>
      </c>
      <c r="T64" s="194" t="s">
        <v>205</v>
      </c>
      <c r="U64" s="240"/>
      <c r="V64" s="240"/>
    </row>
    <row r="65" spans="1:22">
      <c r="A65" s="147"/>
      <c r="B65" s="190" t="s">
        <v>285</v>
      </c>
      <c r="C65" s="195">
        <v>20.386008999999998</v>
      </c>
      <c r="D65" s="195">
        <v>10.622166</v>
      </c>
      <c r="E65" s="195">
        <v>4.4848359999999996</v>
      </c>
      <c r="F65" s="195">
        <v>3.8896349999999997</v>
      </c>
      <c r="G65" s="195">
        <v>2.517153</v>
      </c>
      <c r="H65" s="195">
        <v>1.4438009999999999</v>
      </c>
      <c r="I65" s="225">
        <v>0.02</v>
      </c>
      <c r="J65" s="260"/>
      <c r="K65" s="260"/>
      <c r="L65" s="260"/>
      <c r="M65" s="260"/>
      <c r="N65" s="260" t="s">
        <v>44</v>
      </c>
      <c r="O65" s="193" t="s">
        <v>229</v>
      </c>
      <c r="P65" s="193" t="s">
        <v>235</v>
      </c>
      <c r="Q65" s="194" t="s">
        <v>203</v>
      </c>
      <c r="R65" s="194" t="s">
        <v>204</v>
      </c>
      <c r="S65" s="194" t="s">
        <v>204</v>
      </c>
      <c r="T65" s="194" t="s">
        <v>205</v>
      </c>
      <c r="U65" s="240"/>
      <c r="V65" s="240"/>
    </row>
    <row r="66" spans="1:22">
      <c r="A66" s="147"/>
      <c r="B66" s="190" t="s">
        <v>286</v>
      </c>
      <c r="C66" s="195">
        <v>20.386008999999998</v>
      </c>
      <c r="D66" s="195">
        <v>10.622166</v>
      </c>
      <c r="E66" s="195">
        <v>4.4848359999999996</v>
      </c>
      <c r="F66" s="195">
        <v>3.8896349999999997</v>
      </c>
      <c r="G66" s="195">
        <v>2.517153</v>
      </c>
      <c r="H66" s="195">
        <v>1.4438009999999999</v>
      </c>
      <c r="I66" s="225">
        <v>0.01</v>
      </c>
      <c r="J66" s="260"/>
      <c r="K66" s="260"/>
      <c r="L66" s="260"/>
      <c r="M66" s="260"/>
      <c r="N66" s="260" t="s">
        <v>44</v>
      </c>
      <c r="O66" s="193" t="s">
        <v>229</v>
      </c>
      <c r="P66" s="193" t="s">
        <v>235</v>
      </c>
      <c r="Q66" s="194" t="s">
        <v>203</v>
      </c>
      <c r="R66" s="194" t="s">
        <v>204</v>
      </c>
      <c r="S66" s="194" t="s">
        <v>204</v>
      </c>
      <c r="T66" s="194" t="s">
        <v>205</v>
      </c>
      <c r="U66" s="240"/>
      <c r="V66" s="248"/>
    </row>
    <row r="67" spans="1:22">
      <c r="A67" s="147"/>
      <c r="B67" s="227" t="s">
        <v>287</v>
      </c>
      <c r="C67" s="261">
        <v>37.626714</v>
      </c>
      <c r="D67" s="261">
        <v>25.563825000000001</v>
      </c>
      <c r="E67" s="262">
        <v>9.5004300000000015</v>
      </c>
      <c r="F67" s="262">
        <v>8.2155740000000002</v>
      </c>
      <c r="G67" s="262">
        <v>5.2750659999999998</v>
      </c>
      <c r="H67" s="262">
        <v>3.6959169999999997</v>
      </c>
      <c r="I67" s="263">
        <v>0.35483199999999998</v>
      </c>
      <c r="J67" s="229">
        <v>0.32506799999999997</v>
      </c>
      <c r="K67" s="229">
        <v>0.29702200000000001</v>
      </c>
      <c r="L67" s="229">
        <v>0.28087200000000001</v>
      </c>
      <c r="M67" s="229">
        <v>0.243647</v>
      </c>
      <c r="N67" s="229">
        <v>0.25548599999999999</v>
      </c>
      <c r="O67" s="234" t="s">
        <v>229</v>
      </c>
      <c r="P67" s="234">
        <v>0.03</v>
      </c>
      <c r="Q67" s="235" t="s">
        <v>203</v>
      </c>
      <c r="R67" s="235" t="s">
        <v>204</v>
      </c>
      <c r="S67" s="235" t="s">
        <v>204</v>
      </c>
      <c r="T67" s="235" t="s">
        <v>205</v>
      </c>
      <c r="U67" s="248"/>
      <c r="V67" s="248"/>
    </row>
    <row r="68" spans="1:22" ht="15.75" thickBot="1">
      <c r="A68" s="147"/>
      <c r="B68" s="264"/>
      <c r="C68" s="265"/>
      <c r="D68" s="265"/>
      <c r="E68" s="265"/>
      <c r="F68" s="265"/>
      <c r="G68" s="265"/>
      <c r="H68" s="265"/>
      <c r="I68" s="266"/>
      <c r="J68" s="266"/>
      <c r="K68" s="266"/>
      <c r="L68" s="266"/>
      <c r="M68" s="266"/>
      <c r="N68" s="266"/>
      <c r="O68" s="238"/>
      <c r="P68" s="238"/>
      <c r="Q68" s="267"/>
      <c r="R68" s="267"/>
      <c r="S68" s="267"/>
      <c r="T68" s="267"/>
      <c r="U68" s="248"/>
      <c r="V68" s="248"/>
    </row>
    <row r="69" spans="1:22" ht="27" thickBot="1">
      <c r="A69" s="135"/>
      <c r="B69" s="332" t="s">
        <v>288</v>
      </c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2"/>
      <c r="Q69" s="332"/>
      <c r="R69" s="332"/>
      <c r="S69" s="332"/>
      <c r="T69" s="332"/>
      <c r="U69" s="132"/>
      <c r="V69" s="132"/>
    </row>
    <row r="70" spans="1:22" ht="16.5" thickBot="1">
      <c r="A70" s="135"/>
      <c r="B70" s="333" t="s">
        <v>89</v>
      </c>
      <c r="C70" s="333"/>
      <c r="D70" s="333"/>
      <c r="E70" s="333"/>
      <c r="F70" s="333"/>
      <c r="G70" s="333"/>
      <c r="H70" s="333"/>
      <c r="I70" s="333"/>
      <c r="J70" s="333"/>
      <c r="K70" s="333"/>
      <c r="L70" s="333"/>
      <c r="M70" s="333"/>
      <c r="N70" s="333"/>
      <c r="O70" s="333"/>
      <c r="P70" s="333"/>
      <c r="Q70" s="333"/>
      <c r="R70" s="333"/>
      <c r="S70" s="333"/>
      <c r="T70" s="333"/>
      <c r="U70" s="132"/>
      <c r="V70" s="248"/>
    </row>
    <row r="71" spans="1:22">
      <c r="A71" s="147"/>
      <c r="B71" s="268" t="s">
        <v>289</v>
      </c>
      <c r="C71" s="269">
        <v>29.604794999999999</v>
      </c>
      <c r="D71" s="269">
        <v>15.519427</v>
      </c>
      <c r="E71" s="269">
        <v>6.8053099999999995</v>
      </c>
      <c r="F71" s="269">
        <v>5.3972579999999999</v>
      </c>
      <c r="G71" s="269">
        <v>2.1285419999999999</v>
      </c>
      <c r="H71" s="269">
        <v>1.0057529999999999</v>
      </c>
      <c r="I71" s="270">
        <v>0.20851600000000001</v>
      </c>
      <c r="J71" s="269">
        <v>0.17827999999999999</v>
      </c>
      <c r="K71" s="269">
        <v>0.16009300000000001</v>
      </c>
      <c r="L71" s="269">
        <v>0.14599000000000001</v>
      </c>
      <c r="M71" s="269">
        <v>0.12577199999999999</v>
      </c>
      <c r="N71" s="269">
        <v>0.135158</v>
      </c>
      <c r="O71" s="271" t="s">
        <v>274</v>
      </c>
      <c r="P71" s="271">
        <v>0.05</v>
      </c>
      <c r="Q71" s="272" t="s">
        <v>203</v>
      </c>
      <c r="R71" s="272" t="s">
        <v>204</v>
      </c>
      <c r="S71" s="272" t="s">
        <v>204</v>
      </c>
      <c r="T71" s="272" t="s">
        <v>205</v>
      </c>
      <c r="U71" s="248"/>
      <c r="V71" s="248"/>
    </row>
    <row r="72" spans="1:22">
      <c r="A72" s="147"/>
      <c r="B72" s="190" t="s">
        <v>290</v>
      </c>
      <c r="C72" s="161">
        <v>29.604794999999999</v>
      </c>
      <c r="D72" s="161">
        <v>15.519427</v>
      </c>
      <c r="E72" s="161">
        <v>6.8053099999999995</v>
      </c>
      <c r="F72" s="161">
        <v>5.3972579999999999</v>
      </c>
      <c r="G72" s="161">
        <v>2.1285419999999999</v>
      </c>
      <c r="H72" s="161">
        <v>1.0057529999999999</v>
      </c>
      <c r="I72" s="196">
        <v>0.18562999999999999</v>
      </c>
      <c r="J72" s="161">
        <v>0.16004399999999999</v>
      </c>
      <c r="K72" s="161">
        <v>0.14049600000000001</v>
      </c>
      <c r="L72" s="161">
        <v>0.12700600000000001</v>
      </c>
      <c r="M72" s="161">
        <v>0.110551</v>
      </c>
      <c r="N72" s="161">
        <v>0.112799</v>
      </c>
      <c r="O72" s="193" t="s">
        <v>278</v>
      </c>
      <c r="P72" s="193">
        <v>0.01</v>
      </c>
      <c r="Q72" s="194" t="s">
        <v>203</v>
      </c>
      <c r="R72" s="194" t="s">
        <v>204</v>
      </c>
      <c r="S72" s="194" t="s">
        <v>204</v>
      </c>
      <c r="T72" s="194" t="s">
        <v>205</v>
      </c>
      <c r="U72" s="240"/>
      <c r="V72" s="240"/>
    </row>
    <row r="73" spans="1:22">
      <c r="A73" s="147"/>
      <c r="B73" s="190" t="s">
        <v>291</v>
      </c>
      <c r="C73" s="161">
        <v>29.604794999999999</v>
      </c>
      <c r="D73" s="161">
        <v>15.519427</v>
      </c>
      <c r="E73" s="161">
        <v>6.8053099999999995</v>
      </c>
      <c r="F73" s="161">
        <v>5.3972579999999999</v>
      </c>
      <c r="G73" s="161">
        <v>2.1285419999999999</v>
      </c>
      <c r="H73" s="161">
        <v>1.0057529999999999</v>
      </c>
      <c r="I73" s="196">
        <v>0.196632</v>
      </c>
      <c r="J73" s="161">
        <v>0.16054499999999999</v>
      </c>
      <c r="K73" s="161">
        <v>0.135931</v>
      </c>
      <c r="L73" s="161">
        <v>0.121418</v>
      </c>
      <c r="M73" s="161">
        <v>0.105781</v>
      </c>
      <c r="N73" s="161">
        <v>0.107045</v>
      </c>
      <c r="O73" s="193" t="s">
        <v>274</v>
      </c>
      <c r="P73" s="193">
        <v>0.01</v>
      </c>
      <c r="Q73" s="194" t="s">
        <v>203</v>
      </c>
      <c r="R73" s="194" t="s">
        <v>204</v>
      </c>
      <c r="S73" s="194" t="s">
        <v>204</v>
      </c>
      <c r="T73" s="194" t="s">
        <v>205</v>
      </c>
      <c r="U73" s="248"/>
      <c r="V73" s="248"/>
    </row>
    <row r="74" spans="1:22">
      <c r="A74" s="147"/>
      <c r="B74" s="190" t="s">
        <v>292</v>
      </c>
      <c r="C74" s="161">
        <v>29.604794999999999</v>
      </c>
      <c r="D74" s="161">
        <v>15.519427</v>
      </c>
      <c r="E74" s="161">
        <v>6.8053099999999995</v>
      </c>
      <c r="F74" s="161">
        <v>5.3972579999999999</v>
      </c>
      <c r="G74" s="161">
        <v>2.1285419999999999</v>
      </c>
      <c r="H74" s="161">
        <v>1.0057529999999999</v>
      </c>
      <c r="I74" s="196">
        <v>0.17391200000000001</v>
      </c>
      <c r="J74" s="161">
        <v>0.14454700000000001</v>
      </c>
      <c r="K74" s="161">
        <v>0.120947</v>
      </c>
      <c r="L74" s="161">
        <v>0.111999</v>
      </c>
      <c r="M74" s="161">
        <v>9.5988000000000004E-2</v>
      </c>
      <c r="N74" s="161">
        <v>9.9739999999999995E-2</v>
      </c>
      <c r="O74" s="193" t="s">
        <v>293</v>
      </c>
      <c r="P74" s="193">
        <v>0.01</v>
      </c>
      <c r="Q74" s="194" t="s">
        <v>203</v>
      </c>
      <c r="R74" s="194" t="s">
        <v>204</v>
      </c>
      <c r="S74" s="194" t="s">
        <v>204</v>
      </c>
      <c r="T74" s="194" t="s">
        <v>205</v>
      </c>
      <c r="U74" s="248"/>
      <c r="V74" s="248"/>
    </row>
    <row r="75" spans="1:22">
      <c r="A75" s="147"/>
      <c r="B75" s="190" t="s">
        <v>294</v>
      </c>
      <c r="C75" s="161">
        <v>30.604794999999999</v>
      </c>
      <c r="D75" s="161">
        <v>16.519427</v>
      </c>
      <c r="E75" s="161">
        <v>7.8053099999999995</v>
      </c>
      <c r="F75" s="161">
        <v>6.3972579999999999</v>
      </c>
      <c r="G75" s="161">
        <v>3.1285419999999999</v>
      </c>
      <c r="H75" s="161">
        <v>2.0057529999999999</v>
      </c>
      <c r="I75" s="196">
        <v>0.197438</v>
      </c>
      <c r="J75" s="161">
        <v>0.16545199999999999</v>
      </c>
      <c r="K75" s="161">
        <v>0.145955</v>
      </c>
      <c r="L75" s="161">
        <v>0.13249900000000001</v>
      </c>
      <c r="M75" s="161">
        <v>0.114744</v>
      </c>
      <c r="N75" s="161">
        <v>0.120771</v>
      </c>
      <c r="O75" s="193" t="s">
        <v>274</v>
      </c>
      <c r="P75" s="193">
        <v>0.03</v>
      </c>
      <c r="Q75" s="194" t="s">
        <v>203</v>
      </c>
      <c r="R75" s="194" t="s">
        <v>205</v>
      </c>
      <c r="S75" s="194" t="s">
        <v>205</v>
      </c>
      <c r="T75" s="194" t="s">
        <v>205</v>
      </c>
      <c r="U75" s="248"/>
      <c r="V75" s="248"/>
    </row>
    <row r="76" spans="1:22">
      <c r="A76" s="147"/>
      <c r="B76" s="190" t="s">
        <v>295</v>
      </c>
      <c r="C76" s="161">
        <v>29.604794999999999</v>
      </c>
      <c r="D76" s="161">
        <v>15.519427</v>
      </c>
      <c r="E76" s="161">
        <v>6.8053099999999995</v>
      </c>
      <c r="F76" s="161">
        <v>5.3972579999999999</v>
      </c>
      <c r="G76" s="161">
        <v>2.1285419999999999</v>
      </c>
      <c r="H76" s="161">
        <v>1.0057529999999999</v>
      </c>
      <c r="I76" s="196">
        <v>0.194442</v>
      </c>
      <c r="J76" s="161">
        <v>0.17036999999999999</v>
      </c>
      <c r="K76" s="161">
        <v>0.15632099999999999</v>
      </c>
      <c r="L76" s="161">
        <v>0.13231100000000001</v>
      </c>
      <c r="M76" s="161">
        <v>0.120889</v>
      </c>
      <c r="N76" s="161">
        <v>0.103635</v>
      </c>
      <c r="O76" s="193" t="s">
        <v>229</v>
      </c>
      <c r="P76" s="193">
        <v>0.03</v>
      </c>
      <c r="Q76" s="194" t="s">
        <v>203</v>
      </c>
      <c r="R76" s="194" t="s">
        <v>204</v>
      </c>
      <c r="S76" s="194" t="s">
        <v>204</v>
      </c>
      <c r="T76" s="194" t="s">
        <v>205</v>
      </c>
      <c r="U76" s="248"/>
      <c r="V76" s="240"/>
    </row>
    <row r="77" spans="1:22">
      <c r="A77" s="147"/>
      <c r="B77" s="190" t="s">
        <v>296</v>
      </c>
      <c r="C77" s="161">
        <v>29.604794999999999</v>
      </c>
      <c r="D77" s="161">
        <v>15.519427</v>
      </c>
      <c r="E77" s="161">
        <v>6.8053099999999995</v>
      </c>
      <c r="F77" s="161">
        <v>5.3972579999999999</v>
      </c>
      <c r="G77" s="161">
        <v>2.1285419999999999</v>
      </c>
      <c r="H77" s="161">
        <v>1.0057529999999999</v>
      </c>
      <c r="I77" s="225">
        <v>0.01</v>
      </c>
      <c r="J77" s="161"/>
      <c r="K77" s="161"/>
      <c r="L77" s="161"/>
      <c r="M77" s="161"/>
      <c r="N77" s="161"/>
      <c r="O77" s="193" t="s">
        <v>229</v>
      </c>
      <c r="P77" s="193" t="s">
        <v>235</v>
      </c>
      <c r="Q77" s="194" t="s">
        <v>203</v>
      </c>
      <c r="R77" s="194" t="s">
        <v>204</v>
      </c>
      <c r="S77" s="194" t="s">
        <v>204</v>
      </c>
      <c r="T77" s="194" t="s">
        <v>205</v>
      </c>
      <c r="U77" s="240"/>
      <c r="V77" s="240"/>
    </row>
    <row r="78" spans="1:22">
      <c r="A78" s="147"/>
      <c r="B78" s="190" t="s">
        <v>297</v>
      </c>
      <c r="C78" s="161">
        <v>29.604794999999999</v>
      </c>
      <c r="D78" s="161">
        <v>15.519427</v>
      </c>
      <c r="E78" s="161">
        <v>6.8053099999999995</v>
      </c>
      <c r="F78" s="161">
        <v>5.3972579999999999</v>
      </c>
      <c r="G78" s="161">
        <v>2.1285419999999999</v>
      </c>
      <c r="H78" s="161">
        <v>1.0057529999999999</v>
      </c>
      <c r="I78" s="225">
        <v>5.0000000000000001E-3</v>
      </c>
      <c r="J78" s="161"/>
      <c r="K78" s="161"/>
      <c r="L78" s="161"/>
      <c r="M78" s="161"/>
      <c r="N78" s="161"/>
      <c r="O78" s="193" t="s">
        <v>229</v>
      </c>
      <c r="P78" s="193" t="s">
        <v>235</v>
      </c>
      <c r="Q78" s="194" t="s">
        <v>203</v>
      </c>
      <c r="R78" s="194" t="s">
        <v>204</v>
      </c>
      <c r="S78" s="194" t="s">
        <v>204</v>
      </c>
      <c r="T78" s="194" t="s">
        <v>205</v>
      </c>
      <c r="U78" s="240"/>
      <c r="V78" s="240"/>
    </row>
    <row r="79" spans="1:22">
      <c r="A79" s="147"/>
      <c r="B79" s="227" t="s">
        <v>298</v>
      </c>
      <c r="C79" s="229">
        <v>55.165568999999998</v>
      </c>
      <c r="D79" s="229">
        <v>44.099773999999996</v>
      </c>
      <c r="E79" s="229">
        <v>21.715959999999999</v>
      </c>
      <c r="F79" s="229">
        <v>16.116043000000001</v>
      </c>
      <c r="G79" s="229">
        <v>2.305707</v>
      </c>
      <c r="H79" s="229">
        <v>1.1822349999999999</v>
      </c>
      <c r="I79" s="263">
        <v>0.27851599999999999</v>
      </c>
      <c r="J79" s="229">
        <v>0.24828</v>
      </c>
      <c r="K79" s="229">
        <v>0.23009300000000002</v>
      </c>
      <c r="L79" s="229">
        <v>0.21599000000000002</v>
      </c>
      <c r="M79" s="229">
        <v>0.195772</v>
      </c>
      <c r="N79" s="229">
        <v>0.20515800000000001</v>
      </c>
      <c r="O79" s="234" t="s">
        <v>229</v>
      </c>
      <c r="P79" s="234">
        <v>0.03</v>
      </c>
      <c r="Q79" s="235" t="s">
        <v>203</v>
      </c>
      <c r="R79" s="235" t="s">
        <v>204</v>
      </c>
      <c r="S79" s="235" t="s">
        <v>204</v>
      </c>
      <c r="T79" s="235" t="s">
        <v>205</v>
      </c>
      <c r="U79" s="240"/>
      <c r="V79" s="132"/>
    </row>
    <row r="80" spans="1:22" ht="16.5" thickBot="1">
      <c r="A80" s="135"/>
      <c r="B80" s="334" t="s">
        <v>299</v>
      </c>
      <c r="C80" s="334"/>
      <c r="D80" s="334"/>
      <c r="E80" s="334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132"/>
      <c r="V80" s="248"/>
    </row>
    <row r="81" spans="1:22">
      <c r="A81" s="147"/>
      <c r="B81" s="190" t="s">
        <v>300</v>
      </c>
      <c r="C81" s="195">
        <v>20.109124000000001</v>
      </c>
      <c r="D81" s="161">
        <v>11.118439</v>
      </c>
      <c r="E81" s="161">
        <v>3.7111260000000001</v>
      </c>
      <c r="F81" s="161">
        <v>2.730165</v>
      </c>
      <c r="G81" s="161">
        <v>1.26763</v>
      </c>
      <c r="H81" s="161">
        <v>0.60630399999999995</v>
      </c>
      <c r="I81" s="225">
        <v>0.01</v>
      </c>
      <c r="J81" s="161"/>
      <c r="K81" s="161"/>
      <c r="L81" s="161"/>
      <c r="M81" s="161"/>
      <c r="N81" s="161"/>
      <c r="O81" s="193" t="s">
        <v>229</v>
      </c>
      <c r="P81" s="193" t="s">
        <v>235</v>
      </c>
      <c r="Q81" s="194" t="s">
        <v>203</v>
      </c>
      <c r="R81" s="194" t="s">
        <v>204</v>
      </c>
      <c r="S81" s="194" t="s">
        <v>204</v>
      </c>
      <c r="T81" s="194" t="s">
        <v>205</v>
      </c>
      <c r="U81" s="240"/>
      <c r="V81" s="240"/>
    </row>
    <row r="82" spans="1:22" ht="17.45" customHeight="1">
      <c r="A82" s="147"/>
      <c r="B82" s="227" t="s">
        <v>301</v>
      </c>
      <c r="C82" s="228">
        <v>38.856974000000001</v>
      </c>
      <c r="D82" s="229">
        <v>31.639203999999996</v>
      </c>
      <c r="E82" s="229">
        <v>13.360229000000004</v>
      </c>
      <c r="F82" s="229">
        <v>11.081414000000001</v>
      </c>
      <c r="G82" s="229">
        <v>1.4148329999999998</v>
      </c>
      <c r="H82" s="229">
        <v>0.75310200000000005</v>
      </c>
      <c r="I82" s="231">
        <v>0.25507800000000003</v>
      </c>
      <c r="J82" s="232">
        <v>0.245531</v>
      </c>
      <c r="K82" s="232">
        <v>0.23173000000000002</v>
      </c>
      <c r="L82" s="232">
        <v>0.22343100000000002</v>
      </c>
      <c r="M82" s="232">
        <v>0.21889500000000001</v>
      </c>
      <c r="N82" s="232">
        <v>0.21284500000000001</v>
      </c>
      <c r="O82" s="234" t="s">
        <v>229</v>
      </c>
      <c r="P82" s="234">
        <v>0.03</v>
      </c>
      <c r="Q82" s="235" t="s">
        <v>203</v>
      </c>
      <c r="R82" s="235" t="s">
        <v>204</v>
      </c>
      <c r="S82" s="235" t="s">
        <v>204</v>
      </c>
      <c r="T82" s="235" t="s">
        <v>205</v>
      </c>
      <c r="U82" s="240"/>
      <c r="V82" s="248"/>
    </row>
    <row r="83" spans="1:22">
      <c r="A83" s="147"/>
      <c r="B83" s="190" t="s">
        <v>302</v>
      </c>
      <c r="C83" s="195">
        <v>13.057825000000001</v>
      </c>
      <c r="D83" s="161">
        <v>7.5900809999999996</v>
      </c>
      <c r="E83" s="161">
        <v>3.0636760000000001</v>
      </c>
      <c r="F83" s="161">
        <v>2.3337269999999997</v>
      </c>
      <c r="G83" s="161">
        <v>1.011652</v>
      </c>
      <c r="H83" s="161">
        <v>0.48213300000000003</v>
      </c>
      <c r="I83" s="225">
        <v>0.01</v>
      </c>
      <c r="J83" s="161"/>
      <c r="K83" s="161"/>
      <c r="L83" s="161"/>
      <c r="M83" s="161"/>
      <c r="N83" s="161"/>
      <c r="O83" s="193" t="s">
        <v>229</v>
      </c>
      <c r="P83" s="193" t="s">
        <v>235</v>
      </c>
      <c r="Q83" s="194" t="s">
        <v>203</v>
      </c>
      <c r="R83" s="194" t="s">
        <v>204</v>
      </c>
      <c r="S83" s="194" t="s">
        <v>204</v>
      </c>
      <c r="T83" s="194" t="s">
        <v>205</v>
      </c>
      <c r="U83" s="240"/>
      <c r="V83" s="240"/>
    </row>
    <row r="84" spans="1:22">
      <c r="A84" s="147"/>
      <c r="B84" s="227" t="s">
        <v>303</v>
      </c>
      <c r="C84" s="228">
        <v>27.333013000000001</v>
      </c>
      <c r="D84" s="229">
        <v>23.285111000000001</v>
      </c>
      <c r="E84" s="229">
        <v>11.340036000000001</v>
      </c>
      <c r="F84" s="229">
        <v>6.7419389999999995</v>
      </c>
      <c r="G84" s="229">
        <v>1.2356009999999999</v>
      </c>
      <c r="H84" s="229">
        <v>0.705758</v>
      </c>
      <c r="I84" s="231">
        <v>0.24410900000000002</v>
      </c>
      <c r="J84" s="232">
        <v>0.236211</v>
      </c>
      <c r="K84" s="232">
        <v>0.22429400000000002</v>
      </c>
      <c r="L84" s="232">
        <v>0.21584300000000001</v>
      </c>
      <c r="M84" s="232">
        <v>0.21288400000000002</v>
      </c>
      <c r="N84" s="232">
        <v>0.206318</v>
      </c>
      <c r="O84" s="234" t="s">
        <v>229</v>
      </c>
      <c r="P84" s="234">
        <v>0.03</v>
      </c>
      <c r="Q84" s="235" t="s">
        <v>203</v>
      </c>
      <c r="R84" s="235" t="s">
        <v>204</v>
      </c>
      <c r="S84" s="235" t="s">
        <v>204</v>
      </c>
      <c r="T84" s="235" t="s">
        <v>205</v>
      </c>
      <c r="U84" s="240"/>
      <c r="V84" s="248"/>
    </row>
    <row r="85" spans="1:22">
      <c r="A85" s="147"/>
      <c r="B85" s="190" t="s">
        <v>304</v>
      </c>
      <c r="C85" s="195">
        <v>7.9076129999999996</v>
      </c>
      <c r="D85" s="161">
        <v>4.5868719999999996</v>
      </c>
      <c r="E85" s="161">
        <v>1.460793</v>
      </c>
      <c r="F85" s="161">
        <v>1.159348</v>
      </c>
      <c r="G85" s="161">
        <v>0.49361499999999997</v>
      </c>
      <c r="H85" s="161">
        <v>0.23087199999999999</v>
      </c>
      <c r="I85" s="225">
        <v>0.01</v>
      </c>
      <c r="J85" s="161"/>
      <c r="K85" s="161"/>
      <c r="L85" s="161"/>
      <c r="M85" s="161"/>
      <c r="N85" s="161"/>
      <c r="O85" s="193" t="s">
        <v>229</v>
      </c>
      <c r="P85" s="193" t="s">
        <v>235</v>
      </c>
      <c r="Q85" s="194" t="s">
        <v>203</v>
      </c>
      <c r="R85" s="194" t="s">
        <v>204</v>
      </c>
      <c r="S85" s="194" t="s">
        <v>204</v>
      </c>
      <c r="T85" s="194" t="s">
        <v>205</v>
      </c>
      <c r="U85" s="240"/>
      <c r="V85" s="240"/>
    </row>
    <row r="86" spans="1:22">
      <c r="A86" s="147"/>
      <c r="B86" s="227" t="s">
        <v>305</v>
      </c>
      <c r="C86" s="228">
        <v>24.523198000000001</v>
      </c>
      <c r="D86" s="229">
        <v>17.702963</v>
      </c>
      <c r="E86" s="229">
        <v>7.598059000000001</v>
      </c>
      <c r="F86" s="229">
        <v>5.7774219999999996</v>
      </c>
      <c r="G86" s="229">
        <v>0.67874899999999982</v>
      </c>
      <c r="H86" s="229">
        <v>0.41584799999999994</v>
      </c>
      <c r="I86" s="231">
        <v>0.23403400000000002</v>
      </c>
      <c r="J86" s="232">
        <v>0.228658</v>
      </c>
      <c r="K86" s="232">
        <v>0.22110399999999999</v>
      </c>
      <c r="L86" s="232">
        <v>0.21568800000000002</v>
      </c>
      <c r="M86" s="232">
        <v>0.21130300000000002</v>
      </c>
      <c r="N86" s="232">
        <v>0.200351</v>
      </c>
      <c r="O86" s="234" t="s">
        <v>229</v>
      </c>
      <c r="P86" s="234">
        <v>0.03</v>
      </c>
      <c r="Q86" s="235" t="s">
        <v>203</v>
      </c>
      <c r="R86" s="235" t="s">
        <v>204</v>
      </c>
      <c r="S86" s="235" t="s">
        <v>204</v>
      </c>
      <c r="T86" s="235" t="s">
        <v>205</v>
      </c>
      <c r="U86" s="240"/>
      <c r="V86" s="240"/>
    </row>
    <row r="87" spans="1:22" ht="15.75" thickBot="1">
      <c r="A87" s="147"/>
      <c r="B87" s="264"/>
      <c r="C87" s="266"/>
      <c r="D87" s="264"/>
      <c r="E87" s="264"/>
      <c r="F87" s="264"/>
      <c r="G87" s="264"/>
      <c r="H87" s="264"/>
      <c r="I87" s="237"/>
      <c r="J87" s="237"/>
      <c r="K87" s="237"/>
      <c r="L87" s="237"/>
      <c r="M87" s="237"/>
      <c r="N87" s="237"/>
      <c r="O87" s="238"/>
      <c r="P87" s="238"/>
      <c r="Q87" s="267"/>
      <c r="R87" s="267"/>
      <c r="S87" s="267"/>
      <c r="T87" s="267"/>
      <c r="U87" s="240"/>
      <c r="V87" s="132"/>
    </row>
    <row r="88" spans="1:22" ht="27" thickBot="1">
      <c r="A88" s="135"/>
      <c r="B88" s="335" t="s">
        <v>306</v>
      </c>
      <c r="C88" s="335"/>
      <c r="D88" s="335"/>
      <c r="E88" s="335"/>
      <c r="F88" s="335"/>
      <c r="G88" s="335"/>
      <c r="H88" s="335"/>
      <c r="I88" s="335"/>
      <c r="J88" s="335"/>
      <c r="K88" s="335"/>
      <c r="L88" s="335"/>
      <c r="M88" s="335"/>
      <c r="N88" s="335"/>
      <c r="O88" s="335"/>
      <c r="P88" s="335"/>
      <c r="Q88" s="335"/>
      <c r="R88" s="335"/>
      <c r="S88" s="335"/>
      <c r="T88" s="335"/>
      <c r="U88" s="132"/>
      <c r="V88" s="132"/>
    </row>
    <row r="89" spans="1:22" ht="16.5" thickBot="1">
      <c r="A89" s="135"/>
      <c r="B89" s="336" t="s">
        <v>307</v>
      </c>
      <c r="C89" s="336"/>
      <c r="D89" s="336"/>
      <c r="E89" s="336"/>
      <c r="F89" s="336"/>
      <c r="G89" s="336"/>
      <c r="H89" s="336"/>
      <c r="I89" s="336"/>
      <c r="J89" s="336"/>
      <c r="K89" s="336"/>
      <c r="L89" s="336"/>
      <c r="M89" s="336"/>
      <c r="N89" s="336"/>
      <c r="O89" s="336"/>
      <c r="P89" s="336"/>
      <c r="Q89" s="336"/>
      <c r="R89" s="336"/>
      <c r="S89" s="336"/>
      <c r="T89" s="336"/>
      <c r="U89" s="132"/>
      <c r="V89" s="240"/>
    </row>
    <row r="90" spans="1:22">
      <c r="A90" s="147"/>
      <c r="B90" s="190" t="s">
        <v>308</v>
      </c>
      <c r="C90" s="273">
        <v>6.55</v>
      </c>
      <c r="D90" s="274"/>
      <c r="E90" s="274"/>
      <c r="F90" s="269" t="s">
        <v>44</v>
      </c>
      <c r="G90" s="269" t="s">
        <v>44</v>
      </c>
      <c r="H90" s="269" t="s">
        <v>44</v>
      </c>
      <c r="I90" s="270">
        <v>0.100587</v>
      </c>
      <c r="J90" s="274"/>
      <c r="K90" s="274"/>
      <c r="L90" s="274"/>
      <c r="M90" s="274"/>
      <c r="N90" s="274"/>
      <c r="O90" s="271" t="s">
        <v>309</v>
      </c>
      <c r="P90" s="271"/>
      <c r="Q90" s="272" t="s">
        <v>203</v>
      </c>
      <c r="R90" s="272" t="s">
        <v>204</v>
      </c>
      <c r="S90" s="272" t="s">
        <v>310</v>
      </c>
      <c r="T90" s="272" t="s">
        <v>205</v>
      </c>
      <c r="U90" s="240"/>
      <c r="V90" s="240"/>
    </row>
    <row r="91" spans="1:22">
      <c r="A91" s="147"/>
      <c r="B91" s="190" t="s">
        <v>311</v>
      </c>
      <c r="C91" s="275">
        <v>6.55</v>
      </c>
      <c r="D91" s="274"/>
      <c r="E91" s="274"/>
      <c r="F91" s="274" t="s">
        <v>44</v>
      </c>
      <c r="G91" s="274" t="s">
        <v>44</v>
      </c>
      <c r="H91" s="274" t="s">
        <v>44</v>
      </c>
      <c r="I91" s="276">
        <v>0.100587</v>
      </c>
      <c r="J91" s="274"/>
      <c r="K91" s="274"/>
      <c r="L91" s="277"/>
      <c r="M91" s="277"/>
      <c r="N91" s="274"/>
      <c r="O91" s="278" t="s">
        <v>312</v>
      </c>
      <c r="P91" s="278"/>
      <c r="Q91" s="279" t="s">
        <v>203</v>
      </c>
      <c r="R91" s="279" t="s">
        <v>204</v>
      </c>
      <c r="S91" s="279" t="s">
        <v>310</v>
      </c>
      <c r="T91" s="279" t="s">
        <v>205</v>
      </c>
      <c r="U91" s="240"/>
      <c r="V91" s="240"/>
    </row>
    <row r="92" spans="1:22">
      <c r="A92" s="147"/>
      <c r="B92" s="190" t="s">
        <v>313</v>
      </c>
      <c r="C92" s="280">
        <v>11.18</v>
      </c>
      <c r="D92" s="281"/>
      <c r="E92" s="161" t="s">
        <v>44</v>
      </c>
      <c r="F92" s="161" t="s">
        <v>44</v>
      </c>
      <c r="G92" s="161" t="s">
        <v>44</v>
      </c>
      <c r="H92" s="161" t="s">
        <v>44</v>
      </c>
      <c r="I92" s="196">
        <v>9.9243999999999999E-2</v>
      </c>
      <c r="J92" s="161"/>
      <c r="K92" s="162"/>
      <c r="L92" s="161"/>
      <c r="M92" s="161" t="s">
        <v>44</v>
      </c>
      <c r="N92" s="161"/>
      <c r="O92" s="193" t="s">
        <v>309</v>
      </c>
      <c r="P92" s="193"/>
      <c r="Q92" s="194" t="s">
        <v>203</v>
      </c>
      <c r="R92" s="194" t="s">
        <v>204</v>
      </c>
      <c r="S92" s="194" t="s">
        <v>310</v>
      </c>
      <c r="T92" s="194" t="s">
        <v>205</v>
      </c>
      <c r="U92" s="240"/>
      <c r="V92" s="240"/>
    </row>
    <row r="93" spans="1:22">
      <c r="A93" s="147"/>
      <c r="B93" s="282" t="s">
        <v>314</v>
      </c>
      <c r="C93" s="283">
        <v>11.18</v>
      </c>
      <c r="D93" s="273" t="s">
        <v>44</v>
      </c>
      <c r="E93" s="274" t="s">
        <v>44</v>
      </c>
      <c r="F93" s="274" t="s">
        <v>44</v>
      </c>
      <c r="G93" s="274" t="s">
        <v>44</v>
      </c>
      <c r="H93" s="274" t="s">
        <v>44</v>
      </c>
      <c r="I93" s="276">
        <v>9.9243999999999999E-2</v>
      </c>
      <c r="J93" s="161"/>
      <c r="K93" s="161"/>
      <c r="L93" s="161"/>
      <c r="M93" s="274"/>
      <c r="N93" s="274"/>
      <c r="O93" s="278" t="s">
        <v>312</v>
      </c>
      <c r="P93" s="278"/>
      <c r="Q93" s="279" t="s">
        <v>203</v>
      </c>
      <c r="R93" s="279" t="s">
        <v>204</v>
      </c>
      <c r="S93" s="279" t="s">
        <v>310</v>
      </c>
      <c r="T93" s="279" t="s">
        <v>205</v>
      </c>
      <c r="U93" s="240"/>
      <c r="V93" s="240"/>
    </row>
    <row r="94" spans="1:22">
      <c r="A94" s="147"/>
      <c r="B94" s="190" t="s">
        <v>315</v>
      </c>
      <c r="C94" s="280">
        <v>21.53</v>
      </c>
      <c r="D94" s="281"/>
      <c r="E94" s="161" t="s">
        <v>44</v>
      </c>
      <c r="F94" s="161" t="s">
        <v>44</v>
      </c>
      <c r="G94" s="161" t="s">
        <v>44</v>
      </c>
      <c r="H94" s="161" t="s">
        <v>44</v>
      </c>
      <c r="I94" s="221">
        <v>9.8243999999999998E-2</v>
      </c>
      <c r="J94" s="161"/>
      <c r="K94" s="161"/>
      <c r="L94" s="161"/>
      <c r="M94" s="161" t="s">
        <v>44</v>
      </c>
      <c r="N94" s="161"/>
      <c r="O94" s="193" t="s">
        <v>309</v>
      </c>
      <c r="P94" s="193"/>
      <c r="Q94" s="194" t="s">
        <v>203</v>
      </c>
      <c r="R94" s="194" t="s">
        <v>204</v>
      </c>
      <c r="S94" s="194" t="s">
        <v>310</v>
      </c>
      <c r="T94" s="194" t="s">
        <v>205</v>
      </c>
      <c r="U94" s="240"/>
      <c r="V94" s="240"/>
    </row>
    <row r="95" spans="1:22">
      <c r="A95" s="147"/>
      <c r="B95" s="282" t="s">
        <v>316</v>
      </c>
      <c r="C95" s="283">
        <v>21.53</v>
      </c>
      <c r="D95" s="273" t="s">
        <v>44</v>
      </c>
      <c r="E95" s="274" t="s">
        <v>44</v>
      </c>
      <c r="F95" s="274" t="s">
        <v>44</v>
      </c>
      <c r="G95" s="274" t="s">
        <v>44</v>
      </c>
      <c r="H95" s="274" t="s">
        <v>44</v>
      </c>
      <c r="I95" s="221">
        <v>9.8243999999999998E-2</v>
      </c>
      <c r="J95" s="161"/>
      <c r="K95" s="161"/>
      <c r="L95" s="161"/>
      <c r="M95" s="274" t="s">
        <v>44</v>
      </c>
      <c r="N95" s="274"/>
      <c r="O95" s="278" t="s">
        <v>312</v>
      </c>
      <c r="P95" s="278"/>
      <c r="Q95" s="279" t="s">
        <v>203</v>
      </c>
      <c r="R95" s="279" t="s">
        <v>204</v>
      </c>
      <c r="S95" s="279" t="s">
        <v>310</v>
      </c>
      <c r="T95" s="279" t="s">
        <v>205</v>
      </c>
      <c r="U95" s="240"/>
      <c r="V95" s="240"/>
    </row>
    <row r="96" spans="1:22" ht="16.5" thickBot="1">
      <c r="A96" s="135"/>
      <c r="B96" s="329" t="s">
        <v>317</v>
      </c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132"/>
      <c r="V96" s="240"/>
    </row>
    <row r="97" spans="1:22">
      <c r="A97" s="147"/>
      <c r="B97" s="190" t="s">
        <v>318</v>
      </c>
      <c r="C97" s="280">
        <v>66.63</v>
      </c>
      <c r="D97" s="281"/>
      <c r="E97" s="161"/>
      <c r="F97" s="161"/>
      <c r="G97" s="161"/>
      <c r="H97" s="161"/>
      <c r="I97" s="284">
        <v>1.4999999999999999E-2</v>
      </c>
      <c r="J97" s="274"/>
      <c r="K97" s="161"/>
      <c r="L97" s="285"/>
      <c r="M97" s="161" t="s">
        <v>44</v>
      </c>
      <c r="N97" s="161"/>
      <c r="O97" s="193" t="s">
        <v>229</v>
      </c>
      <c r="P97" s="193"/>
      <c r="Q97" s="194" t="s">
        <v>203</v>
      </c>
      <c r="R97" s="194" t="s">
        <v>204</v>
      </c>
      <c r="S97" s="194" t="s">
        <v>310</v>
      </c>
      <c r="T97" s="194" t="s">
        <v>205</v>
      </c>
      <c r="U97" s="240"/>
      <c r="V97" s="240"/>
    </row>
    <row r="98" spans="1:22">
      <c r="A98" s="147"/>
      <c r="B98" s="190" t="s">
        <v>319</v>
      </c>
      <c r="C98" s="280">
        <v>257.33999999999997</v>
      </c>
      <c r="D98" s="281"/>
      <c r="E98" s="161"/>
      <c r="F98" s="161"/>
      <c r="G98" s="161"/>
      <c r="H98" s="161"/>
      <c r="I98" s="284">
        <v>1.4999999999999999E-2</v>
      </c>
      <c r="J98" s="274"/>
      <c r="K98" s="161"/>
      <c r="L98" s="285"/>
      <c r="M98" s="161" t="s">
        <v>44</v>
      </c>
      <c r="N98" s="161"/>
      <c r="O98" s="193" t="s">
        <v>229</v>
      </c>
      <c r="P98" s="193"/>
      <c r="Q98" s="194" t="s">
        <v>203</v>
      </c>
      <c r="R98" s="194" t="s">
        <v>204</v>
      </c>
      <c r="S98" s="194" t="s">
        <v>310</v>
      </c>
      <c r="T98" s="194" t="s">
        <v>205</v>
      </c>
      <c r="U98" s="240"/>
      <c r="V98" s="240"/>
    </row>
    <row r="99" spans="1:22">
      <c r="A99" s="147"/>
      <c r="B99" s="190" t="s">
        <v>320</v>
      </c>
      <c r="C99" s="280">
        <v>1142.7</v>
      </c>
      <c r="D99" s="281"/>
      <c r="E99" s="161"/>
      <c r="F99" s="161"/>
      <c r="G99" s="161"/>
      <c r="H99" s="161"/>
      <c r="I99" s="284">
        <v>1.4999999999999999E-2</v>
      </c>
      <c r="J99" s="274"/>
      <c r="K99" s="161"/>
      <c r="L99" s="285"/>
      <c r="M99" s="161" t="s">
        <v>44</v>
      </c>
      <c r="N99" s="161"/>
      <c r="O99" s="193" t="s">
        <v>229</v>
      </c>
      <c r="P99" s="193"/>
      <c r="Q99" s="194" t="s">
        <v>203</v>
      </c>
      <c r="R99" s="194" t="s">
        <v>204</v>
      </c>
      <c r="S99" s="194" t="s">
        <v>310</v>
      </c>
      <c r="T99" s="194" t="s">
        <v>205</v>
      </c>
      <c r="U99" s="240"/>
      <c r="V99" s="240"/>
    </row>
    <row r="100" spans="1:22">
      <c r="A100" s="147"/>
      <c r="B100" s="286"/>
      <c r="C100" s="287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48"/>
    </row>
    <row r="101" spans="1:22">
      <c r="A101" s="147"/>
      <c r="B101" s="288" t="s">
        <v>321</v>
      </c>
      <c r="C101" s="289">
        <v>0.06</v>
      </c>
      <c r="D101" s="289"/>
      <c r="E101" s="289"/>
      <c r="F101" s="289"/>
      <c r="G101" s="289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  <c r="R101" s="290"/>
      <c r="S101" s="290"/>
      <c r="T101" s="290"/>
      <c r="U101" s="162"/>
      <c r="V101" s="162"/>
    </row>
    <row r="102" spans="1:22">
      <c r="A102" s="135"/>
      <c r="B102" s="291"/>
      <c r="C102" s="291"/>
      <c r="D102" s="291"/>
      <c r="E102" s="291"/>
      <c r="F102" s="291"/>
      <c r="G102" s="291"/>
      <c r="H102" s="291"/>
      <c r="I102" s="291"/>
      <c r="J102" s="291"/>
      <c r="K102" s="291"/>
      <c r="L102" s="291"/>
      <c r="M102" s="291"/>
      <c r="N102" s="291"/>
      <c r="O102" s="291"/>
      <c r="P102" s="291"/>
      <c r="Q102" s="291"/>
      <c r="R102" s="291"/>
      <c r="S102" s="291"/>
      <c r="T102" s="291"/>
      <c r="U102" s="291"/>
      <c r="V102" s="292"/>
    </row>
    <row r="103" spans="1:22">
      <c r="A103" s="135"/>
      <c r="B103" s="291"/>
      <c r="C103" s="291"/>
      <c r="D103" s="291"/>
      <c r="E103" s="291"/>
      <c r="F103" s="291"/>
      <c r="G103" s="291"/>
      <c r="H103" s="291"/>
      <c r="I103" s="291"/>
      <c r="J103" s="291"/>
      <c r="K103" s="291"/>
      <c r="L103" s="291"/>
      <c r="M103" s="291"/>
      <c r="N103" s="291"/>
      <c r="O103" s="291"/>
      <c r="P103" s="291"/>
      <c r="Q103" s="291"/>
      <c r="R103" s="291"/>
      <c r="S103" s="291"/>
      <c r="T103" s="291"/>
      <c r="U103" s="291"/>
      <c r="V103" s="292"/>
    </row>
    <row r="104" spans="1:22">
      <c r="A104" s="135"/>
      <c r="B104" s="291"/>
      <c r="C104" s="291"/>
      <c r="D104" s="291"/>
      <c r="E104" s="291"/>
      <c r="F104" s="291"/>
      <c r="G104" s="291"/>
      <c r="H104" s="291"/>
      <c r="I104" s="291"/>
      <c r="J104" s="291"/>
      <c r="K104" s="291"/>
      <c r="L104" s="291"/>
      <c r="M104" s="291"/>
      <c r="N104" s="291"/>
      <c r="O104" s="291"/>
      <c r="P104" s="291"/>
      <c r="Q104" s="291"/>
      <c r="R104" s="291"/>
      <c r="S104" s="291"/>
      <c r="T104" s="291"/>
      <c r="U104" s="291"/>
      <c r="V104" s="292"/>
    </row>
    <row r="105" spans="1:22">
      <c r="A105" s="135"/>
      <c r="B105" s="291"/>
      <c r="C105" s="291"/>
      <c r="D105" s="291"/>
      <c r="E105" s="291"/>
      <c r="F105" s="291"/>
      <c r="G105" s="291"/>
      <c r="H105" s="291"/>
      <c r="I105" s="291"/>
      <c r="J105" s="291"/>
      <c r="K105" s="291"/>
      <c r="L105" s="291"/>
      <c r="M105" s="291"/>
      <c r="N105" s="291"/>
      <c r="O105" s="291"/>
      <c r="P105" s="291"/>
      <c r="Q105" s="291"/>
      <c r="R105" s="291"/>
      <c r="S105" s="291"/>
      <c r="T105" s="291"/>
      <c r="U105" s="291"/>
      <c r="V105" s="292"/>
    </row>
    <row r="106" spans="1:22">
      <c r="A106" s="135"/>
      <c r="B106" s="291"/>
      <c r="C106" s="291"/>
      <c r="D106" s="291"/>
      <c r="E106" s="291"/>
      <c r="F106" s="291"/>
      <c r="G106" s="291"/>
      <c r="H106" s="291"/>
      <c r="I106" s="291"/>
      <c r="J106" s="291"/>
      <c r="K106" s="291"/>
      <c r="L106" s="291"/>
      <c r="M106" s="291"/>
      <c r="N106" s="291"/>
      <c r="O106" s="291"/>
      <c r="P106" s="291"/>
      <c r="Q106" s="291"/>
      <c r="R106" s="291"/>
      <c r="S106" s="291"/>
      <c r="T106" s="291"/>
      <c r="U106" s="291"/>
      <c r="V106" s="292"/>
    </row>
    <row r="107" spans="1:22">
      <c r="A107" s="135"/>
      <c r="B107" s="291"/>
      <c r="C107" s="291"/>
      <c r="D107" s="291"/>
      <c r="E107" s="291"/>
      <c r="F107" s="291"/>
      <c r="G107" s="291"/>
      <c r="H107" s="291"/>
      <c r="I107" s="291"/>
      <c r="J107" s="291"/>
      <c r="K107" s="291"/>
      <c r="L107" s="291"/>
      <c r="M107" s="291"/>
      <c r="N107" s="291"/>
      <c r="O107" s="291"/>
      <c r="P107" s="291"/>
      <c r="Q107" s="291"/>
      <c r="R107" s="291"/>
      <c r="S107" s="291"/>
      <c r="T107" s="291"/>
      <c r="U107" s="291"/>
      <c r="V107" s="292"/>
    </row>
    <row r="108" spans="1:22">
      <c r="A108" s="135"/>
      <c r="B108" s="291"/>
      <c r="C108" s="291"/>
      <c r="D108" s="291"/>
      <c r="E108" s="291"/>
      <c r="F108" s="291"/>
      <c r="G108" s="291"/>
      <c r="H108" s="291"/>
      <c r="I108" s="291"/>
      <c r="J108" s="291"/>
      <c r="K108" s="291"/>
      <c r="L108" s="291"/>
      <c r="M108" s="291"/>
      <c r="N108" s="291"/>
      <c r="O108" s="291"/>
      <c r="P108" s="291"/>
      <c r="Q108" s="291"/>
      <c r="R108" s="291"/>
      <c r="S108" s="291"/>
      <c r="T108" s="291"/>
      <c r="U108" s="291"/>
      <c r="V108" s="292"/>
    </row>
    <row r="109" spans="1:22">
      <c r="A109" s="135"/>
      <c r="B109" s="291"/>
      <c r="C109" s="291"/>
      <c r="D109" s="291"/>
      <c r="E109" s="291"/>
      <c r="F109" s="291"/>
      <c r="G109" s="291"/>
      <c r="H109" s="291"/>
      <c r="I109" s="291"/>
      <c r="J109" s="291"/>
      <c r="K109" s="291"/>
      <c r="L109" s="291"/>
      <c r="M109" s="291"/>
      <c r="N109" s="291"/>
      <c r="O109" s="291"/>
      <c r="P109" s="291"/>
      <c r="Q109" s="291"/>
      <c r="R109" s="291"/>
      <c r="S109" s="291"/>
      <c r="T109" s="291"/>
      <c r="U109" s="291"/>
      <c r="V109" s="292"/>
    </row>
    <row r="110" spans="1:22">
      <c r="A110" s="135"/>
      <c r="B110" s="291"/>
      <c r="C110" s="291"/>
      <c r="D110" s="291"/>
      <c r="E110" s="291"/>
      <c r="F110" s="291"/>
      <c r="G110" s="291"/>
      <c r="H110" s="291"/>
      <c r="I110" s="291"/>
      <c r="J110" s="291"/>
      <c r="K110" s="291"/>
      <c r="L110" s="291"/>
      <c r="M110" s="291"/>
      <c r="N110" s="291"/>
      <c r="O110" s="291"/>
      <c r="P110" s="291"/>
      <c r="Q110" s="291"/>
      <c r="R110" s="291"/>
      <c r="S110" s="291"/>
      <c r="T110" s="291"/>
      <c r="U110" s="291"/>
      <c r="V110" s="292"/>
    </row>
    <row r="111" spans="1:22">
      <c r="A111" s="135"/>
      <c r="B111" s="291"/>
      <c r="C111" s="291"/>
      <c r="D111" s="291"/>
      <c r="E111" s="291"/>
      <c r="F111" s="291"/>
      <c r="G111" s="291"/>
      <c r="H111" s="291"/>
      <c r="I111" s="291"/>
      <c r="J111" s="291"/>
      <c r="K111" s="291"/>
      <c r="L111" s="291"/>
      <c r="M111" s="291"/>
      <c r="N111" s="291"/>
      <c r="O111" s="291"/>
      <c r="P111" s="291"/>
      <c r="Q111" s="291"/>
      <c r="R111" s="291"/>
      <c r="S111" s="291"/>
      <c r="T111" s="291"/>
      <c r="U111" s="291"/>
      <c r="V111" s="292"/>
    </row>
    <row r="112" spans="1:22">
      <c r="A112" s="135"/>
      <c r="B112" s="291"/>
      <c r="C112" s="291"/>
      <c r="D112" s="291"/>
      <c r="E112" s="291"/>
      <c r="F112" s="291"/>
      <c r="G112" s="291"/>
      <c r="H112" s="291"/>
      <c r="I112" s="291"/>
      <c r="J112" s="291"/>
      <c r="K112" s="291"/>
      <c r="L112" s="291"/>
      <c r="M112" s="291"/>
      <c r="N112" s="291"/>
      <c r="O112" s="291"/>
      <c r="P112" s="291"/>
      <c r="Q112" s="291"/>
      <c r="R112" s="291"/>
      <c r="S112" s="291"/>
      <c r="T112" s="291"/>
      <c r="U112" s="291"/>
      <c r="V112" s="292"/>
    </row>
    <row r="113" spans="1:22">
      <c r="A113" s="135"/>
      <c r="B113" s="291"/>
      <c r="C113" s="291"/>
      <c r="D113" s="291"/>
      <c r="E113" s="291"/>
      <c r="F113" s="291"/>
      <c r="G113" s="291"/>
      <c r="H113" s="291"/>
      <c r="I113" s="291"/>
      <c r="J113" s="291"/>
      <c r="K113" s="291"/>
      <c r="L113" s="291"/>
      <c r="M113" s="291"/>
      <c r="N113" s="291"/>
      <c r="O113" s="291"/>
      <c r="P113" s="291"/>
      <c r="Q113" s="291"/>
      <c r="R113" s="291"/>
      <c r="S113" s="291"/>
      <c r="T113" s="291"/>
      <c r="U113" s="291"/>
      <c r="V113" s="292"/>
    </row>
    <row r="114" spans="1:22">
      <c r="A114" s="135"/>
      <c r="B114" s="291"/>
      <c r="C114" s="291"/>
      <c r="D114" s="291"/>
      <c r="E114" s="291"/>
      <c r="F114" s="291"/>
      <c r="G114" s="291"/>
      <c r="H114" s="291"/>
      <c r="I114" s="291"/>
      <c r="J114" s="291"/>
      <c r="K114" s="291"/>
      <c r="L114" s="291"/>
      <c r="M114" s="291"/>
      <c r="N114" s="291"/>
      <c r="O114" s="291"/>
      <c r="P114" s="291"/>
      <c r="Q114" s="291"/>
      <c r="R114" s="291"/>
      <c r="S114" s="291"/>
      <c r="T114" s="291"/>
      <c r="U114" s="291"/>
      <c r="V114" s="292"/>
    </row>
    <row r="115" spans="1:22">
      <c r="A115" s="135"/>
      <c r="B115" s="291"/>
      <c r="C115" s="291"/>
      <c r="D115" s="291"/>
      <c r="E115" s="291"/>
      <c r="F115" s="291"/>
      <c r="G115" s="291"/>
      <c r="H115" s="291"/>
      <c r="I115" s="291"/>
      <c r="J115" s="291"/>
      <c r="K115" s="291"/>
      <c r="L115" s="291"/>
      <c r="M115" s="291"/>
      <c r="N115" s="291"/>
      <c r="O115" s="291"/>
      <c r="P115" s="291"/>
      <c r="Q115" s="291"/>
      <c r="R115" s="291"/>
      <c r="S115" s="291"/>
      <c r="T115" s="291"/>
      <c r="U115" s="291"/>
      <c r="V115" s="292"/>
    </row>
    <row r="116" spans="1:22">
      <c r="A116" s="135"/>
      <c r="B116" s="291"/>
      <c r="C116" s="291"/>
      <c r="D116" s="291"/>
      <c r="E116" s="291"/>
      <c r="F116" s="291"/>
      <c r="G116" s="291"/>
      <c r="H116" s="291"/>
      <c r="I116" s="291"/>
      <c r="J116" s="291"/>
      <c r="K116" s="291"/>
      <c r="L116" s="291"/>
      <c r="M116" s="291"/>
      <c r="N116" s="291"/>
      <c r="O116" s="291"/>
      <c r="P116" s="291"/>
      <c r="Q116" s="291"/>
      <c r="R116" s="291"/>
      <c r="S116" s="291"/>
      <c r="T116" s="291"/>
      <c r="U116" s="291"/>
      <c r="V116" s="292"/>
    </row>
    <row r="117" spans="1:22">
      <c r="A117" s="135"/>
      <c r="B117" s="291"/>
      <c r="C117" s="291"/>
      <c r="D117" s="291"/>
      <c r="E117" s="291"/>
      <c r="F117" s="291"/>
      <c r="G117" s="291"/>
      <c r="H117" s="291"/>
      <c r="I117" s="291"/>
      <c r="J117" s="291"/>
      <c r="K117" s="291"/>
      <c r="L117" s="291"/>
      <c r="M117" s="291"/>
      <c r="N117" s="291"/>
      <c r="O117" s="291"/>
      <c r="P117" s="291"/>
      <c r="Q117" s="291"/>
      <c r="R117" s="291"/>
      <c r="S117" s="291"/>
      <c r="T117" s="291"/>
      <c r="U117" s="291"/>
      <c r="V117" s="292"/>
    </row>
    <row r="118" spans="1:22">
      <c r="A118" s="135"/>
      <c r="B118" s="291"/>
      <c r="C118" s="291"/>
      <c r="D118" s="291"/>
      <c r="E118" s="291"/>
      <c r="F118" s="291"/>
      <c r="G118" s="291"/>
      <c r="H118" s="291"/>
      <c r="I118" s="291"/>
      <c r="J118" s="291"/>
      <c r="K118" s="291"/>
      <c r="L118" s="291"/>
      <c r="M118" s="291"/>
      <c r="N118" s="291"/>
      <c r="O118" s="291"/>
      <c r="P118" s="291"/>
      <c r="Q118" s="291"/>
      <c r="R118" s="291"/>
      <c r="S118" s="291"/>
      <c r="T118" s="291"/>
      <c r="U118" s="291"/>
      <c r="V118" s="292"/>
    </row>
    <row r="119" spans="1:22">
      <c r="A119" s="135"/>
      <c r="B119" s="291"/>
      <c r="C119" s="291"/>
      <c r="D119" s="291"/>
      <c r="E119" s="291"/>
      <c r="F119" s="291"/>
      <c r="G119" s="291"/>
      <c r="H119" s="291"/>
      <c r="I119" s="291"/>
      <c r="J119" s="291"/>
      <c r="K119" s="291"/>
      <c r="L119" s="291"/>
      <c r="M119" s="291"/>
      <c r="N119" s="291"/>
      <c r="O119" s="291"/>
      <c r="P119" s="291"/>
      <c r="Q119" s="291"/>
      <c r="R119" s="291"/>
      <c r="S119" s="291"/>
      <c r="T119" s="291"/>
      <c r="U119" s="291"/>
      <c r="V119" s="292"/>
    </row>
    <row r="120" spans="1:22">
      <c r="A120" s="135"/>
      <c r="B120" s="291"/>
      <c r="C120" s="291"/>
      <c r="D120" s="291"/>
      <c r="E120" s="291"/>
      <c r="F120" s="291"/>
      <c r="G120" s="291"/>
      <c r="H120" s="291"/>
      <c r="I120" s="291"/>
      <c r="J120" s="291"/>
      <c r="K120" s="291"/>
      <c r="L120" s="291"/>
      <c r="M120" s="291"/>
      <c r="N120" s="291"/>
      <c r="O120" s="291"/>
      <c r="P120" s="291"/>
      <c r="Q120" s="291"/>
      <c r="R120" s="291"/>
      <c r="S120" s="291"/>
      <c r="T120" s="291"/>
      <c r="U120" s="291"/>
      <c r="V120" s="292"/>
    </row>
    <row r="121" spans="1:22">
      <c r="A121" s="135"/>
      <c r="B121" s="291"/>
      <c r="C121" s="291"/>
      <c r="D121" s="291"/>
      <c r="E121" s="291"/>
      <c r="F121" s="291"/>
      <c r="G121" s="291"/>
      <c r="H121" s="291"/>
      <c r="I121" s="291"/>
      <c r="J121" s="291"/>
      <c r="K121" s="291"/>
      <c r="L121" s="291"/>
      <c r="M121" s="291"/>
      <c r="N121" s="291"/>
      <c r="O121" s="291"/>
      <c r="P121" s="291"/>
      <c r="Q121" s="291"/>
      <c r="R121" s="291"/>
      <c r="S121" s="291"/>
      <c r="T121" s="291"/>
      <c r="U121" s="291"/>
      <c r="V121" s="292"/>
    </row>
    <row r="122" spans="1:22">
      <c r="A122" s="135"/>
      <c r="B122" s="291"/>
      <c r="C122" s="291"/>
      <c r="D122" s="291"/>
      <c r="E122" s="291"/>
      <c r="F122" s="291"/>
      <c r="G122" s="291"/>
      <c r="H122" s="291"/>
      <c r="I122" s="291"/>
      <c r="J122" s="291"/>
      <c r="K122" s="291"/>
      <c r="L122" s="291"/>
      <c r="M122" s="291"/>
      <c r="N122" s="291"/>
      <c r="O122" s="291"/>
      <c r="P122" s="291"/>
      <c r="Q122" s="291"/>
      <c r="R122" s="291"/>
      <c r="S122" s="291"/>
      <c r="T122" s="291"/>
      <c r="U122" s="291"/>
      <c r="V122" s="292"/>
    </row>
    <row r="123" spans="1:22">
      <c r="A123" s="135"/>
      <c r="B123" s="291"/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291"/>
      <c r="P123" s="291"/>
      <c r="Q123" s="291"/>
      <c r="R123" s="291"/>
      <c r="S123" s="291"/>
      <c r="T123" s="291"/>
      <c r="U123" s="291"/>
      <c r="V123" s="292"/>
    </row>
    <row r="124" spans="1:22">
      <c r="A124" s="135"/>
      <c r="B124" s="291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91"/>
      <c r="P124" s="291"/>
      <c r="Q124" s="291"/>
      <c r="R124" s="291"/>
      <c r="S124" s="291"/>
      <c r="T124" s="291"/>
      <c r="U124" s="291"/>
      <c r="V124" s="292"/>
    </row>
    <row r="125" spans="1:22">
      <c r="A125" s="135"/>
      <c r="B125" s="291"/>
      <c r="C125" s="291"/>
      <c r="D125" s="291"/>
      <c r="E125" s="291"/>
      <c r="F125" s="291"/>
      <c r="G125" s="291"/>
      <c r="H125" s="291"/>
      <c r="I125" s="291"/>
      <c r="J125" s="291"/>
      <c r="K125" s="291"/>
      <c r="L125" s="291"/>
      <c r="M125" s="291"/>
      <c r="N125" s="291"/>
      <c r="O125" s="291"/>
      <c r="P125" s="291"/>
      <c r="Q125" s="291"/>
      <c r="R125" s="291"/>
      <c r="S125" s="291"/>
      <c r="T125" s="291"/>
      <c r="U125" s="291"/>
      <c r="V125" s="292"/>
    </row>
    <row r="126" spans="1:22">
      <c r="A126" s="135"/>
      <c r="B126" s="291"/>
      <c r="C126" s="291"/>
      <c r="D126" s="291"/>
      <c r="E126" s="291"/>
      <c r="F126" s="291"/>
      <c r="G126" s="291"/>
      <c r="H126" s="291"/>
      <c r="I126" s="291"/>
      <c r="J126" s="291"/>
      <c r="K126" s="291"/>
      <c r="L126" s="291"/>
      <c r="M126" s="291"/>
      <c r="N126" s="291"/>
      <c r="O126" s="291"/>
      <c r="P126" s="291"/>
      <c r="Q126" s="291"/>
      <c r="R126" s="291"/>
      <c r="S126" s="291"/>
      <c r="T126" s="291"/>
      <c r="U126" s="291"/>
      <c r="V126" s="292"/>
    </row>
    <row r="127" spans="1:22">
      <c r="A127" s="135"/>
      <c r="B127" s="291"/>
      <c r="C127" s="291"/>
      <c r="D127" s="291"/>
      <c r="E127" s="291"/>
      <c r="F127" s="291"/>
      <c r="G127" s="291"/>
      <c r="H127" s="291"/>
      <c r="I127" s="291"/>
      <c r="J127" s="291"/>
      <c r="K127" s="291"/>
      <c r="L127" s="291"/>
      <c r="M127" s="291"/>
      <c r="N127" s="291"/>
      <c r="O127" s="291"/>
      <c r="P127" s="291"/>
      <c r="Q127" s="291"/>
      <c r="R127" s="291"/>
      <c r="S127" s="291"/>
      <c r="T127" s="291"/>
      <c r="U127" s="291"/>
      <c r="V127" s="292"/>
    </row>
    <row r="128" spans="1:22">
      <c r="A128" s="135"/>
      <c r="B128" s="291"/>
      <c r="C128" s="291"/>
      <c r="D128" s="291"/>
      <c r="E128" s="291"/>
      <c r="F128" s="291"/>
      <c r="G128" s="291"/>
      <c r="H128" s="291"/>
      <c r="I128" s="291"/>
      <c r="J128" s="291"/>
      <c r="K128" s="291"/>
      <c r="L128" s="291"/>
      <c r="M128" s="291"/>
      <c r="N128" s="291"/>
      <c r="O128" s="291"/>
      <c r="P128" s="291"/>
      <c r="Q128" s="291"/>
      <c r="R128" s="291"/>
      <c r="S128" s="291"/>
      <c r="T128" s="291"/>
      <c r="U128" s="291"/>
      <c r="V128" s="292"/>
    </row>
    <row r="129" spans="1:22">
      <c r="A129" s="135"/>
      <c r="B129" s="291"/>
      <c r="C129" s="291"/>
      <c r="D129" s="291"/>
      <c r="E129" s="291"/>
      <c r="F129" s="291"/>
      <c r="G129" s="291"/>
      <c r="H129" s="291"/>
      <c r="I129" s="291"/>
      <c r="J129" s="291"/>
      <c r="K129" s="291"/>
      <c r="L129" s="291"/>
      <c r="M129" s="291"/>
      <c r="N129" s="291"/>
      <c r="O129" s="291"/>
      <c r="P129" s="291"/>
      <c r="Q129" s="291"/>
      <c r="R129" s="291"/>
      <c r="S129" s="291"/>
      <c r="T129" s="291"/>
      <c r="U129" s="291"/>
      <c r="V129" s="292"/>
    </row>
    <row r="130" spans="1:22">
      <c r="A130" s="135"/>
      <c r="B130" s="291"/>
      <c r="C130" s="291"/>
      <c r="D130" s="291"/>
      <c r="E130" s="291"/>
      <c r="F130" s="291"/>
      <c r="G130" s="291"/>
      <c r="H130" s="291"/>
      <c r="I130" s="291"/>
      <c r="J130" s="291"/>
      <c r="K130" s="291"/>
      <c r="L130" s="291"/>
      <c r="M130" s="291"/>
      <c r="N130" s="291"/>
      <c r="O130" s="291"/>
      <c r="P130" s="291"/>
      <c r="Q130" s="291"/>
      <c r="R130" s="291"/>
      <c r="S130" s="291"/>
      <c r="T130" s="291"/>
      <c r="U130" s="291"/>
      <c r="V130" s="292"/>
    </row>
    <row r="131" spans="1:22">
      <c r="A131" s="135"/>
      <c r="B131" s="291"/>
      <c r="C131" s="291"/>
      <c r="D131" s="291"/>
      <c r="E131" s="291"/>
      <c r="F131" s="291"/>
      <c r="G131" s="291"/>
      <c r="H131" s="291"/>
      <c r="I131" s="291"/>
      <c r="J131" s="291"/>
      <c r="K131" s="291"/>
      <c r="L131" s="291"/>
      <c r="M131" s="291"/>
      <c r="N131" s="291"/>
      <c r="O131" s="291"/>
      <c r="P131" s="291"/>
      <c r="Q131" s="291"/>
      <c r="R131" s="291"/>
      <c r="S131" s="291"/>
      <c r="T131" s="291"/>
      <c r="U131" s="291"/>
      <c r="V131" s="292"/>
    </row>
    <row r="132" spans="1:22">
      <c r="A132" s="135"/>
      <c r="B132" s="291"/>
      <c r="C132" s="291"/>
      <c r="D132" s="291"/>
      <c r="E132" s="291"/>
      <c r="F132" s="291"/>
      <c r="G132" s="291"/>
      <c r="H132" s="291"/>
      <c r="I132" s="291"/>
      <c r="J132" s="291"/>
      <c r="K132" s="291"/>
      <c r="L132" s="291"/>
      <c r="M132" s="291"/>
      <c r="N132" s="291"/>
      <c r="O132" s="291"/>
      <c r="P132" s="291"/>
      <c r="Q132" s="291"/>
      <c r="R132" s="291"/>
      <c r="S132" s="291"/>
      <c r="T132" s="291"/>
      <c r="U132" s="291"/>
      <c r="V132" s="292"/>
    </row>
    <row r="133" spans="1:22">
      <c r="A133" s="135"/>
      <c r="B133" s="291"/>
      <c r="C133" s="291"/>
      <c r="D133" s="291"/>
      <c r="E133" s="291"/>
      <c r="F133" s="291"/>
      <c r="G133" s="291"/>
      <c r="H133" s="291"/>
      <c r="I133" s="291"/>
      <c r="J133" s="291"/>
      <c r="K133" s="291"/>
      <c r="L133" s="291"/>
      <c r="M133" s="291"/>
      <c r="N133" s="291"/>
      <c r="O133" s="291"/>
      <c r="P133" s="291"/>
      <c r="Q133" s="291"/>
      <c r="R133" s="291"/>
      <c r="S133" s="291"/>
      <c r="T133" s="291"/>
      <c r="U133" s="291"/>
      <c r="V133" s="292"/>
    </row>
    <row r="134" spans="1:22">
      <c r="A134" s="135"/>
      <c r="B134" s="291"/>
      <c r="C134" s="291"/>
      <c r="D134" s="291"/>
      <c r="E134" s="291"/>
      <c r="F134" s="291"/>
      <c r="G134" s="291"/>
      <c r="H134" s="291"/>
      <c r="I134" s="291"/>
      <c r="J134" s="291"/>
      <c r="K134" s="291"/>
      <c r="L134" s="291"/>
      <c r="M134" s="291"/>
      <c r="N134" s="291"/>
      <c r="O134" s="291"/>
      <c r="P134" s="291"/>
      <c r="Q134" s="291"/>
      <c r="R134" s="291"/>
      <c r="S134" s="291"/>
      <c r="T134" s="291"/>
      <c r="U134" s="291"/>
      <c r="V134" s="292"/>
    </row>
    <row r="135" spans="1:22">
      <c r="A135" s="135"/>
      <c r="B135" s="291"/>
      <c r="C135" s="291"/>
      <c r="D135" s="291"/>
      <c r="E135" s="291"/>
      <c r="F135" s="291"/>
      <c r="G135" s="291"/>
      <c r="H135" s="291"/>
      <c r="I135" s="291"/>
      <c r="J135" s="291"/>
      <c r="K135" s="291"/>
      <c r="L135" s="291"/>
      <c r="M135" s="291"/>
      <c r="N135" s="291"/>
      <c r="O135" s="291"/>
      <c r="P135" s="291"/>
      <c r="Q135" s="291"/>
      <c r="R135" s="291"/>
      <c r="S135" s="291"/>
      <c r="T135" s="291"/>
      <c r="U135" s="291"/>
      <c r="V135" s="292"/>
    </row>
    <row r="136" spans="1:22">
      <c r="A136" s="135"/>
      <c r="B136" s="291"/>
      <c r="C136" s="291"/>
      <c r="D136" s="291"/>
      <c r="E136" s="291"/>
      <c r="F136" s="291"/>
      <c r="G136" s="291"/>
      <c r="H136" s="291"/>
      <c r="I136" s="291"/>
      <c r="J136" s="291"/>
      <c r="K136" s="291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2"/>
    </row>
    <row r="137" spans="1:22">
      <c r="A137" s="135"/>
      <c r="B137" s="291"/>
      <c r="C137" s="291"/>
      <c r="D137" s="291"/>
      <c r="E137" s="291"/>
      <c r="F137" s="291"/>
      <c r="G137" s="291"/>
      <c r="H137" s="291"/>
      <c r="I137" s="291"/>
      <c r="J137" s="291"/>
      <c r="K137" s="291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2"/>
    </row>
    <row r="138" spans="1:22">
      <c r="A138" s="135"/>
      <c r="B138" s="291"/>
      <c r="C138" s="291"/>
      <c r="D138" s="291"/>
      <c r="E138" s="291"/>
      <c r="F138" s="291"/>
      <c r="G138" s="291"/>
      <c r="H138" s="291"/>
      <c r="I138" s="291"/>
      <c r="J138" s="291"/>
      <c r="K138" s="291"/>
      <c r="L138" s="291"/>
      <c r="M138" s="291"/>
      <c r="N138" s="291"/>
      <c r="O138" s="291"/>
      <c r="P138" s="291"/>
      <c r="Q138" s="291"/>
      <c r="R138" s="291"/>
      <c r="S138" s="291"/>
      <c r="T138" s="291"/>
      <c r="U138" s="291"/>
      <c r="V138" s="292"/>
    </row>
    <row r="139" spans="1:22">
      <c r="A139" s="135"/>
      <c r="B139" s="291"/>
      <c r="C139" s="291"/>
      <c r="D139" s="291"/>
      <c r="E139" s="291"/>
      <c r="F139" s="291"/>
      <c r="G139" s="291"/>
      <c r="H139" s="291"/>
      <c r="I139" s="291"/>
      <c r="J139" s="291"/>
      <c r="K139" s="291"/>
      <c r="L139" s="291"/>
      <c r="M139" s="291"/>
      <c r="N139" s="291"/>
      <c r="O139" s="291"/>
      <c r="P139" s="291"/>
      <c r="Q139" s="291"/>
      <c r="R139" s="291"/>
      <c r="S139" s="291"/>
      <c r="T139" s="291"/>
      <c r="U139" s="291"/>
      <c r="V139" s="292"/>
    </row>
    <row r="140" spans="1:22">
      <c r="A140" s="135"/>
      <c r="B140" s="291"/>
      <c r="C140" s="291"/>
      <c r="D140" s="291"/>
      <c r="E140" s="291"/>
      <c r="F140" s="291"/>
      <c r="G140" s="291"/>
      <c r="H140" s="291"/>
      <c r="I140" s="291"/>
      <c r="J140" s="291"/>
      <c r="K140" s="291"/>
      <c r="L140" s="291"/>
      <c r="M140" s="291"/>
      <c r="N140" s="291"/>
      <c r="O140" s="291"/>
      <c r="P140" s="291"/>
      <c r="Q140" s="291"/>
      <c r="R140" s="291"/>
      <c r="S140" s="291"/>
      <c r="T140" s="291"/>
      <c r="U140" s="291"/>
      <c r="V140" s="292"/>
    </row>
    <row r="141" spans="1:22" ht="15.75" thickBot="1">
      <c r="A141" s="135"/>
      <c r="B141" s="291"/>
      <c r="C141" s="291"/>
      <c r="D141" s="291"/>
      <c r="E141" s="291"/>
      <c r="F141" s="291"/>
      <c r="G141" s="291"/>
      <c r="H141" s="291"/>
      <c r="I141" s="291"/>
      <c r="J141" s="291"/>
      <c r="K141" s="291"/>
      <c r="L141" s="291"/>
      <c r="M141" s="291"/>
      <c r="N141" s="291"/>
      <c r="O141" s="291"/>
      <c r="P141" s="291"/>
      <c r="Q141" s="291"/>
      <c r="R141" s="291"/>
      <c r="S141" s="291"/>
      <c r="T141" s="291"/>
      <c r="U141" s="291"/>
      <c r="V141" s="292"/>
    </row>
    <row r="142" spans="1:22" ht="27" thickBot="1">
      <c r="A142" s="135"/>
      <c r="B142" s="330" t="s">
        <v>322</v>
      </c>
      <c r="C142" s="330"/>
      <c r="D142" s="330"/>
      <c r="E142" s="330"/>
      <c r="F142" s="330"/>
      <c r="G142" s="330"/>
      <c r="H142" s="330"/>
      <c r="I142" s="330"/>
      <c r="J142" s="330"/>
      <c r="K142" s="330"/>
      <c r="L142" s="330"/>
      <c r="M142" s="330"/>
      <c r="N142" s="330"/>
      <c r="O142" s="330"/>
      <c r="P142" s="330"/>
      <c r="Q142" s="330"/>
      <c r="R142" s="330"/>
      <c r="S142" s="330"/>
      <c r="T142" s="291"/>
      <c r="U142" s="291"/>
      <c r="V142" s="292"/>
    </row>
    <row r="143" spans="1:22">
      <c r="A143" s="147"/>
      <c r="B143" s="291"/>
      <c r="C143" s="291"/>
      <c r="D143" s="291"/>
      <c r="E143" s="291"/>
      <c r="F143" s="291"/>
      <c r="G143" s="291"/>
      <c r="H143" s="291"/>
      <c r="I143" s="291"/>
      <c r="J143" s="291"/>
      <c r="K143" s="291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2"/>
    </row>
    <row r="144" spans="1:22">
      <c r="A144" s="147"/>
      <c r="B144" s="291"/>
      <c r="C144" s="291"/>
      <c r="D144" s="291"/>
      <c r="E144" s="291"/>
      <c r="F144" s="291"/>
      <c r="G144" s="291"/>
      <c r="H144" s="291"/>
      <c r="I144" s="291"/>
      <c r="J144" s="291"/>
      <c r="K144" s="291"/>
      <c r="L144" s="291"/>
      <c r="M144" s="291"/>
      <c r="N144" s="291"/>
      <c r="O144" s="291"/>
      <c r="P144" s="291"/>
      <c r="Q144" s="291"/>
      <c r="R144" s="291"/>
      <c r="S144" s="291"/>
      <c r="T144" s="291"/>
      <c r="U144" s="291"/>
      <c r="V144" s="292"/>
    </row>
    <row r="145" spans="1:22">
      <c r="A145" s="147"/>
      <c r="B145" s="291"/>
      <c r="C145" s="291"/>
      <c r="D145" s="291"/>
      <c r="E145" s="291"/>
      <c r="F145" s="291"/>
      <c r="G145" s="291"/>
      <c r="H145" s="291"/>
      <c r="I145" s="291"/>
      <c r="J145" s="291"/>
      <c r="K145" s="291"/>
      <c r="L145" s="291"/>
      <c r="M145" s="291"/>
      <c r="N145" s="291"/>
      <c r="O145" s="291"/>
      <c r="P145" s="291"/>
      <c r="Q145" s="291"/>
      <c r="R145" s="291"/>
      <c r="S145" s="291"/>
      <c r="T145" s="291"/>
      <c r="U145" s="291"/>
      <c r="V145" s="291"/>
    </row>
    <row r="146" spans="1:22">
      <c r="A146" s="147"/>
      <c r="B146" s="291"/>
      <c r="C146" s="291"/>
      <c r="D146" s="291"/>
      <c r="E146" s="291"/>
      <c r="F146" s="291"/>
      <c r="G146" s="291"/>
      <c r="H146" s="291"/>
      <c r="I146" s="291"/>
      <c r="J146" s="291"/>
      <c r="K146" s="291"/>
      <c r="L146" s="291"/>
      <c r="M146" s="291"/>
      <c r="N146" s="291"/>
      <c r="O146" s="291"/>
      <c r="P146" s="291"/>
      <c r="Q146" s="291"/>
      <c r="R146" s="291"/>
      <c r="S146" s="291"/>
      <c r="T146" s="291"/>
      <c r="U146" s="291"/>
      <c r="V146" s="291"/>
    </row>
    <row r="147" spans="1:22">
      <c r="A147" s="147"/>
      <c r="B147" s="291"/>
      <c r="C147" s="291"/>
      <c r="D147" s="291"/>
      <c r="E147" s="291"/>
      <c r="F147" s="291"/>
      <c r="G147" s="291"/>
      <c r="H147" s="291"/>
      <c r="I147" s="291"/>
      <c r="J147" s="291"/>
      <c r="K147" s="291"/>
      <c r="L147" s="291"/>
      <c r="M147" s="291"/>
      <c r="N147" s="291"/>
      <c r="O147" s="291"/>
      <c r="P147" s="291"/>
      <c r="Q147" s="291"/>
      <c r="R147" s="291"/>
      <c r="S147" s="291"/>
      <c r="T147" s="291"/>
      <c r="U147" s="291"/>
      <c r="V147" s="291"/>
    </row>
    <row r="148" spans="1:22">
      <c r="A148" s="147"/>
      <c r="B148" s="291"/>
      <c r="C148" s="291"/>
      <c r="D148" s="291"/>
      <c r="E148" s="291"/>
      <c r="F148" s="291"/>
      <c r="G148" s="291"/>
      <c r="H148" s="291"/>
      <c r="I148" s="291"/>
      <c r="J148" s="291"/>
      <c r="K148" s="291"/>
      <c r="L148" s="291"/>
      <c r="M148" s="291"/>
      <c r="N148" s="291"/>
      <c r="O148" s="291"/>
      <c r="P148" s="291"/>
      <c r="Q148" s="291"/>
      <c r="R148" s="291"/>
      <c r="S148" s="291"/>
      <c r="T148" s="291"/>
      <c r="U148" s="291"/>
      <c r="V148" s="291"/>
    </row>
    <row r="149" spans="1:22">
      <c r="A149" s="147"/>
      <c r="B149" s="291"/>
      <c r="C149" s="291"/>
      <c r="D149" s="291"/>
      <c r="E149" s="291"/>
      <c r="F149" s="291"/>
      <c r="G149" s="291"/>
      <c r="H149" s="291"/>
      <c r="I149" s="291"/>
      <c r="J149" s="291"/>
      <c r="K149" s="291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</row>
    <row r="150" spans="1:22">
      <c r="A150" s="147"/>
      <c r="B150" s="291"/>
      <c r="C150" s="291"/>
      <c r="D150" s="291"/>
      <c r="E150" s="291"/>
      <c r="F150" s="291"/>
      <c r="G150" s="291"/>
      <c r="H150" s="291"/>
      <c r="I150" s="291"/>
      <c r="J150" s="291"/>
      <c r="K150" s="291"/>
      <c r="L150" s="291"/>
      <c r="M150" s="291"/>
      <c r="N150" s="291"/>
      <c r="O150" s="291"/>
      <c r="P150" s="291"/>
      <c r="Q150" s="291"/>
      <c r="R150" s="291"/>
      <c r="S150" s="291"/>
      <c r="T150" s="291"/>
      <c r="U150" s="291"/>
      <c r="V150" s="292"/>
    </row>
    <row r="151" spans="1:22">
      <c r="A151" s="147"/>
      <c r="B151" s="291"/>
      <c r="C151" s="291"/>
      <c r="D151" s="291"/>
      <c r="E151" s="291"/>
      <c r="F151" s="291"/>
      <c r="G151" s="291"/>
      <c r="H151" s="291"/>
      <c r="I151" s="291"/>
      <c r="J151" s="291"/>
      <c r="K151" s="291"/>
      <c r="L151" s="291"/>
      <c r="M151" s="291"/>
      <c r="N151" s="291"/>
      <c r="O151" s="291"/>
      <c r="P151" s="291"/>
      <c r="Q151" s="291"/>
      <c r="R151" s="291"/>
      <c r="S151" s="291"/>
      <c r="T151" s="291"/>
      <c r="U151" s="291"/>
      <c r="V151" s="292"/>
    </row>
    <row r="152" spans="1:22">
      <c r="A152" s="147"/>
      <c r="B152" s="291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291"/>
      <c r="P152" s="291"/>
      <c r="Q152" s="291"/>
      <c r="R152" s="291"/>
      <c r="S152" s="291"/>
      <c r="T152" s="291"/>
      <c r="U152" s="291"/>
      <c r="V152" s="292"/>
    </row>
    <row r="153" spans="1:22">
      <c r="A153" s="147"/>
      <c r="B153" s="291"/>
      <c r="C153" s="291"/>
      <c r="D153" s="291"/>
      <c r="E153" s="291"/>
      <c r="F153" s="291"/>
      <c r="G153" s="291"/>
      <c r="H153" s="291"/>
      <c r="I153" s="291"/>
      <c r="J153" s="291"/>
      <c r="K153" s="291"/>
      <c r="L153" s="291"/>
      <c r="M153" s="291"/>
      <c r="N153" s="291"/>
      <c r="O153" s="291"/>
      <c r="P153" s="291"/>
      <c r="Q153" s="291"/>
      <c r="R153" s="291"/>
      <c r="S153" s="291"/>
      <c r="T153" s="291"/>
      <c r="U153" s="291"/>
      <c r="V153" s="292"/>
    </row>
    <row r="154" spans="1:22">
      <c r="A154" s="147"/>
      <c r="B154" s="291"/>
      <c r="C154" s="291"/>
      <c r="D154" s="291"/>
      <c r="E154" s="291"/>
      <c r="F154" s="291"/>
      <c r="G154" s="291"/>
      <c r="H154" s="291"/>
      <c r="I154" s="291"/>
      <c r="J154" s="291"/>
      <c r="K154" s="291"/>
      <c r="L154" s="291"/>
      <c r="M154" s="291"/>
      <c r="N154" s="291"/>
      <c r="O154" s="291"/>
      <c r="P154" s="291"/>
      <c r="Q154" s="291"/>
      <c r="R154" s="291"/>
      <c r="S154" s="291"/>
      <c r="T154" s="291"/>
      <c r="U154" s="291"/>
      <c r="V154" s="292"/>
    </row>
    <row r="155" spans="1:22">
      <c r="A155" s="147"/>
      <c r="B155" s="291"/>
      <c r="C155" s="291"/>
      <c r="D155" s="291"/>
      <c r="E155" s="291"/>
      <c r="F155" s="291"/>
      <c r="G155" s="291"/>
      <c r="H155" s="291"/>
      <c r="I155" s="291"/>
      <c r="J155" s="291"/>
      <c r="K155" s="291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2"/>
    </row>
    <row r="156" spans="1:22">
      <c r="A156" s="147"/>
      <c r="B156" s="291"/>
      <c r="C156" s="291"/>
      <c r="D156" s="291"/>
      <c r="E156" s="291"/>
      <c r="F156" s="291"/>
      <c r="G156" s="291"/>
      <c r="H156" s="291"/>
      <c r="I156" s="291"/>
      <c r="J156" s="291"/>
      <c r="K156" s="291"/>
      <c r="L156" s="291"/>
      <c r="M156" s="291"/>
      <c r="N156" s="291"/>
      <c r="O156" s="291"/>
      <c r="P156" s="291"/>
      <c r="Q156" s="291"/>
      <c r="R156" s="291"/>
      <c r="S156" s="291"/>
      <c r="T156" s="291"/>
      <c r="U156" s="291"/>
      <c r="V156" s="291"/>
    </row>
    <row r="157" spans="1:22">
      <c r="A157" s="147"/>
      <c r="B157" s="291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91"/>
      <c r="P157" s="291"/>
      <c r="Q157" s="291"/>
      <c r="R157" s="291"/>
      <c r="S157" s="291"/>
      <c r="T157" s="291"/>
      <c r="U157" s="291"/>
      <c r="V157" s="291"/>
    </row>
    <row r="158" spans="1:22">
      <c r="A158" s="147"/>
      <c r="B158" s="291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291"/>
      <c r="P158" s="291"/>
      <c r="Q158" s="291"/>
      <c r="R158" s="291"/>
      <c r="S158" s="291"/>
      <c r="T158" s="291"/>
      <c r="U158" s="291"/>
      <c r="V158" s="291"/>
    </row>
    <row r="159" spans="1:22">
      <c r="A159" s="147"/>
      <c r="B159" s="291"/>
      <c r="C159" s="291"/>
      <c r="D159" s="291"/>
      <c r="E159" s="291"/>
      <c r="F159" s="291"/>
      <c r="G159" s="291"/>
      <c r="H159" s="291"/>
      <c r="I159" s="291"/>
      <c r="J159" s="291"/>
      <c r="K159" s="291"/>
      <c r="L159" s="291"/>
      <c r="M159" s="291"/>
      <c r="N159" s="291"/>
      <c r="O159" s="291"/>
      <c r="P159" s="291"/>
      <c r="Q159" s="291"/>
      <c r="R159" s="291"/>
      <c r="S159" s="291"/>
      <c r="T159" s="291"/>
      <c r="U159" s="291"/>
      <c r="V159" s="291"/>
    </row>
    <row r="160" spans="1:22">
      <c r="A160" s="147"/>
      <c r="B160" s="291"/>
      <c r="C160" s="291"/>
      <c r="D160" s="291"/>
      <c r="E160" s="291"/>
      <c r="F160" s="291"/>
      <c r="G160" s="291"/>
      <c r="H160" s="291"/>
      <c r="I160" s="291"/>
      <c r="J160" s="291"/>
      <c r="K160" s="291"/>
      <c r="L160" s="291"/>
      <c r="M160" s="291"/>
      <c r="N160" s="291"/>
      <c r="O160" s="291"/>
      <c r="P160" s="291"/>
      <c r="Q160" s="291"/>
      <c r="R160" s="291"/>
      <c r="S160" s="291"/>
      <c r="T160" s="291"/>
      <c r="U160" s="291"/>
      <c r="V160" s="292"/>
    </row>
    <row r="161" spans="1:22">
      <c r="A161" s="147"/>
      <c r="B161" s="291"/>
      <c r="C161" s="291"/>
      <c r="D161" s="291"/>
      <c r="E161" s="291"/>
      <c r="F161" s="291"/>
      <c r="G161" s="291"/>
      <c r="H161" s="291"/>
      <c r="I161" s="291"/>
      <c r="J161" s="291"/>
      <c r="K161" s="291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2"/>
    </row>
    <row r="162" spans="1:22">
      <c r="A162" s="147"/>
      <c r="B162" s="291"/>
      <c r="C162" s="291"/>
      <c r="D162" s="291"/>
      <c r="E162" s="291"/>
      <c r="F162" s="291"/>
      <c r="G162" s="291"/>
      <c r="H162" s="291"/>
      <c r="I162" s="291"/>
      <c r="J162" s="291"/>
      <c r="K162" s="291"/>
      <c r="L162" s="291"/>
      <c r="M162" s="291"/>
      <c r="N162" s="291"/>
      <c r="O162" s="291"/>
      <c r="P162" s="291"/>
      <c r="Q162" s="291"/>
      <c r="R162" s="291"/>
      <c r="S162" s="291"/>
      <c r="T162" s="291"/>
      <c r="U162" s="291"/>
      <c r="V162" s="292"/>
    </row>
    <row r="163" spans="1:22">
      <c r="A163" s="147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291"/>
      <c r="P163" s="291"/>
      <c r="Q163" s="291"/>
      <c r="R163" s="291"/>
      <c r="S163" s="291"/>
      <c r="T163" s="291"/>
      <c r="U163" s="291"/>
      <c r="V163" s="292"/>
    </row>
    <row r="164" spans="1:22">
      <c r="A164" s="147"/>
      <c r="B164" s="291"/>
      <c r="C164" s="291"/>
      <c r="D164" s="291"/>
      <c r="E164" s="291"/>
      <c r="F164" s="291"/>
      <c r="G164" s="291"/>
      <c r="H164" s="291"/>
      <c r="I164" s="291"/>
      <c r="J164" s="291"/>
      <c r="K164" s="291"/>
      <c r="L164" s="291"/>
      <c r="M164" s="291"/>
      <c r="N164" s="291"/>
      <c r="O164" s="291"/>
      <c r="P164" s="291"/>
      <c r="Q164" s="291"/>
      <c r="R164" s="291"/>
      <c r="S164" s="291"/>
      <c r="T164" s="291"/>
      <c r="U164" s="291"/>
      <c r="V164" s="291"/>
    </row>
    <row r="165" spans="1:22">
      <c r="A165" s="147"/>
      <c r="B165" s="291"/>
      <c r="C165" s="291"/>
      <c r="D165" s="291"/>
      <c r="E165" s="291"/>
      <c r="F165" s="291"/>
      <c r="G165" s="291"/>
      <c r="H165" s="291"/>
      <c r="I165" s="291"/>
      <c r="J165" s="291"/>
      <c r="K165" s="291"/>
      <c r="L165" s="291"/>
      <c r="M165" s="291"/>
      <c r="N165" s="291"/>
      <c r="O165" s="291"/>
      <c r="P165" s="291"/>
      <c r="Q165" s="291"/>
      <c r="R165" s="291"/>
      <c r="S165" s="291"/>
      <c r="T165" s="291"/>
      <c r="U165" s="291"/>
      <c r="V165" s="291"/>
    </row>
    <row r="166" spans="1:22">
      <c r="A166" s="147"/>
      <c r="B166" s="291"/>
      <c r="C166" s="291"/>
      <c r="D166" s="291"/>
      <c r="E166" s="291"/>
      <c r="F166" s="291"/>
      <c r="G166" s="291"/>
      <c r="H166" s="291"/>
      <c r="I166" s="291"/>
      <c r="J166" s="291"/>
      <c r="K166" s="291"/>
      <c r="L166" s="291"/>
      <c r="M166" s="291"/>
      <c r="N166" s="291"/>
      <c r="O166" s="291"/>
      <c r="P166" s="291"/>
      <c r="Q166" s="291"/>
      <c r="R166" s="291"/>
      <c r="S166" s="291"/>
      <c r="T166" s="291"/>
      <c r="U166" s="291"/>
      <c r="V166" s="291"/>
    </row>
    <row r="167" spans="1:22">
      <c r="A167" s="147"/>
      <c r="B167" s="291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  <c r="O167" s="291"/>
      <c r="P167" s="291"/>
      <c r="Q167" s="291"/>
      <c r="R167" s="291"/>
      <c r="S167" s="291"/>
      <c r="T167" s="291"/>
      <c r="U167" s="291"/>
      <c r="V167" s="291"/>
    </row>
    <row r="168" spans="1:22">
      <c r="A168" s="147"/>
      <c r="B168" s="291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291"/>
      <c r="P168" s="291"/>
      <c r="Q168" s="291"/>
      <c r="R168" s="291"/>
      <c r="S168" s="291"/>
      <c r="T168" s="291"/>
      <c r="U168" s="291"/>
      <c r="V168" s="291"/>
    </row>
    <row r="169" spans="1:22">
      <c r="A169" s="147"/>
      <c r="B169" s="291"/>
      <c r="C169" s="291"/>
      <c r="D169" s="291"/>
      <c r="E169" s="291"/>
      <c r="F169" s="291"/>
      <c r="G169" s="291"/>
      <c r="H169" s="291"/>
      <c r="I169" s="291"/>
      <c r="J169" s="291"/>
      <c r="K169" s="291"/>
      <c r="L169" s="291"/>
      <c r="M169" s="291"/>
      <c r="N169" s="291"/>
      <c r="O169" s="291"/>
      <c r="P169" s="291"/>
      <c r="Q169" s="291"/>
      <c r="R169" s="291"/>
      <c r="S169" s="291"/>
      <c r="T169" s="291"/>
      <c r="U169" s="291"/>
      <c r="V169" s="291"/>
    </row>
    <row r="170" spans="1:22">
      <c r="A170" s="147"/>
      <c r="B170" s="291"/>
      <c r="C170" s="291"/>
      <c r="D170" s="291"/>
      <c r="E170" s="291"/>
      <c r="F170" s="291"/>
      <c r="G170" s="291"/>
      <c r="H170" s="291"/>
      <c r="I170" s="291"/>
      <c r="J170" s="291"/>
      <c r="K170" s="291"/>
      <c r="L170" s="291"/>
      <c r="M170" s="291"/>
      <c r="N170" s="291"/>
      <c r="O170" s="291"/>
      <c r="P170" s="291"/>
      <c r="Q170" s="291"/>
      <c r="R170" s="291"/>
      <c r="S170" s="291"/>
      <c r="T170" s="291"/>
      <c r="U170" s="291"/>
      <c r="V170" s="291"/>
    </row>
    <row r="171" spans="1:22">
      <c r="A171" s="147"/>
      <c r="B171" s="291"/>
      <c r="C171" s="291"/>
      <c r="D171" s="291"/>
      <c r="E171" s="291"/>
      <c r="F171" s="291"/>
      <c r="G171" s="291"/>
      <c r="H171" s="291"/>
      <c r="I171" s="291"/>
      <c r="J171" s="291"/>
      <c r="K171" s="291"/>
      <c r="L171" s="291"/>
      <c r="M171" s="291"/>
      <c r="N171" s="291"/>
      <c r="O171" s="291"/>
      <c r="P171" s="291"/>
      <c r="Q171" s="291"/>
      <c r="R171" s="291"/>
      <c r="S171" s="291"/>
      <c r="T171" s="291"/>
      <c r="U171" s="291"/>
      <c r="V171" s="291"/>
    </row>
    <row r="172" spans="1:22">
      <c r="A172" s="147"/>
      <c r="B172" s="291"/>
      <c r="C172" s="291"/>
      <c r="D172" s="291"/>
      <c r="E172" s="291"/>
      <c r="F172" s="291"/>
      <c r="G172" s="291"/>
      <c r="H172" s="291"/>
      <c r="I172" s="291"/>
      <c r="J172" s="291"/>
      <c r="K172" s="291"/>
      <c r="L172" s="291"/>
      <c r="M172" s="291"/>
      <c r="N172" s="291"/>
      <c r="O172" s="291"/>
      <c r="P172" s="291"/>
      <c r="Q172" s="291"/>
      <c r="R172" s="291"/>
      <c r="S172" s="291"/>
      <c r="T172" s="291"/>
      <c r="U172" s="291"/>
      <c r="V172" s="291"/>
    </row>
    <row r="173" spans="1:22">
      <c r="A173" s="147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291"/>
      <c r="P173" s="291"/>
      <c r="Q173" s="291"/>
      <c r="R173" s="291"/>
      <c r="S173" s="291"/>
      <c r="T173" s="291"/>
      <c r="U173" s="291"/>
      <c r="V173" s="291"/>
    </row>
    <row r="174" spans="1:22">
      <c r="A174" s="147"/>
      <c r="B174" s="291"/>
      <c r="C174" s="291"/>
      <c r="D174" s="291"/>
      <c r="E174" s="291"/>
      <c r="F174" s="291"/>
      <c r="G174" s="291"/>
      <c r="H174" s="291"/>
      <c r="I174" s="291"/>
      <c r="J174" s="291"/>
      <c r="K174" s="291"/>
      <c r="L174" s="291"/>
      <c r="M174" s="291"/>
      <c r="N174" s="291"/>
      <c r="O174" s="291"/>
      <c r="P174" s="291"/>
      <c r="Q174" s="291"/>
      <c r="R174" s="291"/>
      <c r="S174" s="291"/>
      <c r="T174" s="291"/>
      <c r="U174" s="291"/>
      <c r="V174" s="292"/>
    </row>
    <row r="175" spans="1:22">
      <c r="A175" s="147"/>
      <c r="B175" s="291"/>
      <c r="C175" s="291"/>
      <c r="D175" s="291"/>
      <c r="E175" s="291"/>
      <c r="F175" s="291"/>
      <c r="G175" s="291"/>
      <c r="H175" s="291"/>
      <c r="I175" s="291"/>
      <c r="J175" s="291"/>
      <c r="K175" s="291"/>
      <c r="L175" s="291"/>
      <c r="M175" s="291"/>
      <c r="N175" s="291"/>
      <c r="O175" s="291"/>
      <c r="P175" s="291"/>
      <c r="Q175" s="291"/>
      <c r="R175" s="291"/>
      <c r="S175" s="291"/>
      <c r="T175" s="291"/>
      <c r="U175" s="291"/>
      <c r="V175" s="291"/>
    </row>
    <row r="176" spans="1:22">
      <c r="A176" s="147"/>
      <c r="B176" s="291"/>
      <c r="C176" s="291"/>
      <c r="D176" s="291"/>
      <c r="E176" s="291"/>
      <c r="F176" s="291"/>
      <c r="G176" s="291"/>
      <c r="H176" s="291"/>
      <c r="I176" s="291"/>
      <c r="J176" s="291"/>
      <c r="K176" s="291"/>
      <c r="L176" s="291"/>
      <c r="M176" s="291"/>
      <c r="N176" s="291"/>
      <c r="O176" s="291"/>
      <c r="P176" s="291"/>
      <c r="Q176" s="291"/>
      <c r="R176" s="291"/>
      <c r="S176" s="291"/>
      <c r="T176" s="291"/>
      <c r="U176" s="291"/>
      <c r="V176" s="291"/>
    </row>
    <row r="177" spans="1:22">
      <c r="A177" s="147"/>
      <c r="B177" s="291"/>
      <c r="C177" s="291"/>
      <c r="D177" s="291"/>
      <c r="E177" s="291"/>
      <c r="F177" s="291"/>
      <c r="G177" s="291"/>
      <c r="H177" s="291"/>
      <c r="I177" s="291"/>
      <c r="J177" s="291"/>
      <c r="K177" s="291"/>
      <c r="L177" s="291"/>
      <c r="M177" s="291"/>
      <c r="N177" s="291"/>
      <c r="O177" s="291"/>
      <c r="P177" s="291"/>
      <c r="Q177" s="291"/>
      <c r="R177" s="291"/>
      <c r="S177" s="291"/>
      <c r="T177" s="291"/>
      <c r="U177" s="291"/>
      <c r="V177" s="292"/>
    </row>
    <row r="178" spans="1:22">
      <c r="A178" s="147"/>
      <c r="B178" s="291"/>
      <c r="C178" s="291"/>
      <c r="D178" s="291"/>
      <c r="E178" s="291"/>
      <c r="F178" s="291"/>
      <c r="G178" s="291"/>
      <c r="H178" s="291"/>
      <c r="I178" s="291"/>
      <c r="J178" s="291"/>
      <c r="K178" s="291"/>
      <c r="L178" s="291"/>
      <c r="M178" s="291"/>
      <c r="N178" s="291"/>
      <c r="O178" s="291"/>
      <c r="P178" s="291"/>
      <c r="Q178" s="291"/>
      <c r="R178" s="291"/>
      <c r="S178" s="291"/>
      <c r="T178" s="291"/>
      <c r="U178" s="291"/>
      <c r="V178" s="291"/>
    </row>
    <row r="179" spans="1:22">
      <c r="A179" s="147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291"/>
      <c r="P179" s="291"/>
      <c r="Q179" s="291"/>
      <c r="R179" s="291"/>
      <c r="S179" s="291"/>
      <c r="T179" s="291"/>
      <c r="U179" s="291"/>
      <c r="V179" s="291"/>
    </row>
    <row r="180" spans="1:22">
      <c r="A180" s="147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291"/>
      <c r="P180" s="291"/>
      <c r="Q180" s="291"/>
      <c r="R180" s="291"/>
      <c r="S180" s="291"/>
      <c r="T180" s="291"/>
      <c r="U180" s="291"/>
      <c r="V180" s="292"/>
    </row>
    <row r="181" spans="1:22">
      <c r="A181" s="147"/>
      <c r="B181" s="291"/>
      <c r="C181" s="291"/>
      <c r="D181" s="291"/>
      <c r="E181" s="291"/>
      <c r="F181" s="291"/>
      <c r="G181" s="291"/>
      <c r="H181" s="291"/>
      <c r="I181" s="291"/>
      <c r="J181" s="291"/>
      <c r="K181" s="291"/>
      <c r="L181" s="291"/>
      <c r="M181" s="291"/>
      <c r="N181" s="291"/>
      <c r="O181" s="291"/>
      <c r="P181" s="291"/>
      <c r="Q181" s="291"/>
      <c r="R181" s="291"/>
      <c r="S181" s="291"/>
      <c r="T181" s="291"/>
      <c r="U181" s="291"/>
      <c r="V181" s="291"/>
    </row>
    <row r="182" spans="1:22">
      <c r="A182" s="147"/>
      <c r="B182" s="291"/>
      <c r="C182" s="291"/>
      <c r="D182" s="291"/>
      <c r="E182" s="291"/>
      <c r="F182" s="291"/>
      <c r="G182" s="291"/>
      <c r="H182" s="291"/>
      <c r="I182" s="291"/>
      <c r="J182" s="291"/>
      <c r="K182" s="291"/>
      <c r="L182" s="291"/>
      <c r="M182" s="291"/>
      <c r="N182" s="291"/>
      <c r="O182" s="291"/>
      <c r="P182" s="291"/>
      <c r="Q182" s="291"/>
      <c r="R182" s="291"/>
      <c r="S182" s="291"/>
      <c r="T182" s="291"/>
      <c r="U182" s="291"/>
      <c r="V182" s="291"/>
    </row>
    <row r="183" spans="1:22">
      <c r="A183" s="147"/>
      <c r="B183" s="291"/>
      <c r="C183" s="291"/>
      <c r="D183" s="291"/>
      <c r="E183" s="291"/>
      <c r="F183" s="291"/>
      <c r="G183" s="291"/>
      <c r="H183" s="291"/>
      <c r="I183" s="291"/>
      <c r="J183" s="291"/>
      <c r="K183" s="291"/>
      <c r="L183" s="291"/>
      <c r="M183" s="291"/>
      <c r="N183" s="291"/>
      <c r="O183" s="291"/>
      <c r="P183" s="291"/>
      <c r="Q183" s="291"/>
      <c r="R183" s="291"/>
      <c r="S183" s="291"/>
      <c r="T183" s="291"/>
      <c r="U183" s="291"/>
      <c r="V183" s="291"/>
    </row>
    <row r="184" spans="1:22">
      <c r="A184" s="147"/>
      <c r="B184" s="291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291"/>
      <c r="P184" s="291"/>
      <c r="Q184" s="291"/>
      <c r="R184" s="291"/>
      <c r="S184" s="291"/>
      <c r="T184" s="291"/>
      <c r="U184" s="291"/>
      <c r="V184" s="291"/>
    </row>
    <row r="185" spans="1:22">
      <c r="A185" s="147"/>
      <c r="B185" s="291"/>
      <c r="C185" s="291"/>
      <c r="D185" s="291"/>
      <c r="E185" s="291"/>
      <c r="F185" s="291"/>
      <c r="G185" s="291"/>
      <c r="H185" s="291"/>
      <c r="I185" s="291"/>
      <c r="J185" s="291"/>
      <c r="K185" s="291"/>
      <c r="L185" s="291"/>
      <c r="M185" s="291"/>
      <c r="N185" s="291"/>
      <c r="O185" s="291"/>
      <c r="P185" s="291"/>
      <c r="Q185" s="291"/>
      <c r="R185" s="291"/>
      <c r="S185" s="291"/>
      <c r="T185" s="291"/>
      <c r="U185" s="291"/>
      <c r="V185" s="291"/>
    </row>
    <row r="186" spans="1:22">
      <c r="A186" s="147"/>
      <c r="B186" s="291"/>
      <c r="C186" s="291"/>
      <c r="D186" s="291"/>
      <c r="E186" s="291"/>
      <c r="F186" s="291"/>
      <c r="G186" s="291"/>
      <c r="H186" s="291"/>
      <c r="I186" s="291"/>
      <c r="J186" s="291"/>
      <c r="K186" s="291"/>
      <c r="L186" s="291"/>
      <c r="M186" s="291"/>
      <c r="N186" s="291"/>
      <c r="O186" s="291"/>
      <c r="P186" s="291"/>
      <c r="Q186" s="291"/>
      <c r="R186" s="291"/>
      <c r="S186" s="291"/>
      <c r="T186" s="291"/>
      <c r="U186" s="291"/>
      <c r="V186" s="291"/>
    </row>
    <row r="187" spans="1:22">
      <c r="A187" s="147"/>
      <c r="B187" s="291"/>
      <c r="C187" s="291"/>
      <c r="D187" s="291"/>
      <c r="E187" s="291"/>
      <c r="F187" s="291"/>
      <c r="G187" s="291"/>
      <c r="H187" s="291"/>
      <c r="I187" s="291"/>
      <c r="J187" s="291"/>
      <c r="K187" s="291"/>
      <c r="L187" s="291"/>
      <c r="M187" s="291"/>
      <c r="N187" s="291"/>
      <c r="O187" s="291"/>
      <c r="P187" s="291"/>
      <c r="Q187" s="291"/>
      <c r="R187" s="291"/>
      <c r="S187" s="291"/>
      <c r="T187" s="291"/>
      <c r="U187" s="291"/>
      <c r="V187" s="291"/>
    </row>
    <row r="188" spans="1:22">
      <c r="A188" s="147"/>
      <c r="B188" s="291"/>
      <c r="C188" s="291"/>
      <c r="D188" s="291"/>
      <c r="E188" s="291"/>
      <c r="F188" s="291"/>
      <c r="G188" s="291"/>
      <c r="H188" s="291"/>
      <c r="I188" s="291"/>
      <c r="J188" s="291"/>
      <c r="K188" s="291"/>
      <c r="L188" s="291"/>
      <c r="M188" s="291"/>
      <c r="N188" s="291"/>
      <c r="O188" s="291"/>
      <c r="P188" s="291"/>
      <c r="Q188" s="291"/>
      <c r="R188" s="291"/>
      <c r="S188" s="291"/>
      <c r="T188" s="291"/>
      <c r="U188" s="291"/>
      <c r="V188" s="291"/>
    </row>
    <row r="189" spans="1:22">
      <c r="A189" s="147"/>
      <c r="B189" s="291"/>
      <c r="C189" s="291"/>
      <c r="D189" s="291"/>
      <c r="E189" s="291"/>
      <c r="F189" s="291"/>
      <c r="G189" s="291"/>
      <c r="H189" s="291"/>
      <c r="I189" s="291"/>
      <c r="J189" s="291"/>
      <c r="K189" s="291"/>
      <c r="L189" s="291"/>
      <c r="M189" s="291"/>
      <c r="N189" s="291"/>
      <c r="O189" s="291"/>
      <c r="P189" s="291"/>
      <c r="Q189" s="291"/>
      <c r="R189" s="291"/>
      <c r="S189" s="291"/>
      <c r="T189" s="291"/>
      <c r="U189" s="291"/>
      <c r="V189" s="291"/>
    </row>
    <row r="190" spans="1:22">
      <c r="A190" s="147"/>
      <c r="B190" s="291"/>
      <c r="C190" s="291"/>
      <c r="D190" s="291"/>
      <c r="E190" s="291"/>
      <c r="F190" s="291"/>
      <c r="G190" s="291"/>
      <c r="H190" s="291"/>
      <c r="I190" s="291"/>
      <c r="J190" s="291"/>
      <c r="K190" s="291"/>
      <c r="L190" s="291"/>
      <c r="M190" s="291"/>
      <c r="N190" s="291"/>
      <c r="O190" s="291"/>
      <c r="P190" s="291"/>
      <c r="Q190" s="291"/>
      <c r="R190" s="291"/>
      <c r="S190" s="291"/>
      <c r="T190" s="291"/>
      <c r="U190" s="291"/>
      <c r="V190" s="291"/>
    </row>
    <row r="191" spans="1:22">
      <c r="A191" s="147"/>
      <c r="B191" s="291"/>
      <c r="C191" s="291"/>
      <c r="D191" s="291"/>
      <c r="E191" s="291"/>
      <c r="F191" s="291"/>
      <c r="G191" s="291"/>
      <c r="H191" s="291"/>
      <c r="I191" s="291"/>
      <c r="J191" s="291"/>
      <c r="K191" s="291"/>
      <c r="L191" s="291"/>
      <c r="M191" s="291"/>
      <c r="N191" s="291"/>
      <c r="O191" s="291"/>
      <c r="P191" s="291"/>
      <c r="Q191" s="291"/>
      <c r="R191" s="291"/>
      <c r="S191" s="291"/>
      <c r="T191" s="291"/>
      <c r="U191" s="291"/>
      <c r="V191" s="291"/>
    </row>
    <row r="192" spans="1:22">
      <c r="A192" s="147"/>
      <c r="B192" s="291"/>
      <c r="C192" s="291"/>
      <c r="D192" s="291"/>
      <c r="E192" s="291"/>
      <c r="F192" s="291"/>
      <c r="G192" s="291"/>
      <c r="H192" s="291"/>
      <c r="I192" s="291"/>
      <c r="J192" s="291"/>
      <c r="K192" s="291"/>
      <c r="L192" s="291"/>
      <c r="M192" s="291"/>
      <c r="N192" s="291"/>
      <c r="O192" s="291"/>
      <c r="P192" s="291"/>
      <c r="Q192" s="291"/>
      <c r="R192" s="291"/>
      <c r="S192" s="291"/>
      <c r="T192" s="291"/>
      <c r="U192" s="291"/>
      <c r="V192" s="291"/>
    </row>
    <row r="193" spans="1:22">
      <c r="A193" s="147"/>
      <c r="B193" s="291"/>
      <c r="C193" s="291"/>
      <c r="D193" s="291"/>
      <c r="E193" s="291"/>
      <c r="F193" s="291"/>
      <c r="G193" s="291"/>
      <c r="H193" s="291"/>
      <c r="I193" s="291"/>
      <c r="J193" s="291"/>
      <c r="K193" s="291"/>
      <c r="L193" s="291"/>
      <c r="M193" s="291"/>
      <c r="N193" s="291"/>
      <c r="O193" s="291"/>
      <c r="P193" s="291"/>
      <c r="Q193" s="291"/>
      <c r="R193" s="291"/>
      <c r="S193" s="291"/>
      <c r="T193" s="291"/>
      <c r="U193" s="291"/>
      <c r="V193" s="291"/>
    </row>
    <row r="194" spans="1:22">
      <c r="A194" s="147"/>
      <c r="B194" s="291"/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  <c r="O194" s="291"/>
      <c r="P194" s="291"/>
      <c r="Q194" s="291"/>
      <c r="R194" s="291"/>
      <c r="S194" s="291"/>
      <c r="T194" s="291"/>
      <c r="U194" s="291"/>
      <c r="V194" s="291"/>
    </row>
    <row r="195" spans="1:22">
      <c r="A195" s="147"/>
      <c r="B195" s="291"/>
      <c r="C195" s="291"/>
      <c r="D195" s="291"/>
      <c r="E195" s="291"/>
      <c r="F195" s="291"/>
      <c r="G195" s="291"/>
      <c r="H195" s="291"/>
      <c r="I195" s="291"/>
      <c r="J195" s="291"/>
      <c r="K195" s="291"/>
      <c r="L195" s="291"/>
      <c r="M195" s="291"/>
      <c r="N195" s="291"/>
      <c r="O195" s="291"/>
      <c r="P195" s="291"/>
      <c r="Q195" s="291"/>
      <c r="R195" s="291"/>
      <c r="S195" s="291"/>
      <c r="T195" s="291"/>
      <c r="U195" s="291"/>
      <c r="V195" s="291"/>
    </row>
    <row r="196" spans="1:22">
      <c r="A196" s="147"/>
      <c r="B196" s="291"/>
      <c r="C196" s="291"/>
      <c r="D196" s="291"/>
      <c r="E196" s="291"/>
      <c r="F196" s="291"/>
      <c r="G196" s="291"/>
      <c r="H196" s="291"/>
      <c r="I196" s="291"/>
      <c r="J196" s="291"/>
      <c r="K196" s="291"/>
      <c r="L196" s="291"/>
      <c r="M196" s="291"/>
      <c r="N196" s="291"/>
      <c r="O196" s="291"/>
      <c r="P196" s="291"/>
      <c r="Q196" s="291"/>
      <c r="R196" s="291"/>
      <c r="S196" s="291"/>
      <c r="T196" s="291"/>
      <c r="U196" s="291"/>
      <c r="V196" s="291"/>
    </row>
    <row r="197" spans="1:22">
      <c r="A197" s="147"/>
      <c r="B197" s="291"/>
      <c r="C197" s="291"/>
      <c r="D197" s="291"/>
      <c r="E197" s="291"/>
      <c r="F197" s="291"/>
      <c r="G197" s="291"/>
      <c r="H197" s="291"/>
      <c r="I197" s="291"/>
      <c r="J197" s="291"/>
      <c r="K197" s="291"/>
      <c r="L197" s="291"/>
      <c r="M197" s="291"/>
      <c r="N197" s="291"/>
      <c r="O197" s="291"/>
      <c r="P197" s="291"/>
      <c r="Q197" s="291"/>
      <c r="R197" s="291"/>
      <c r="S197" s="291"/>
      <c r="T197" s="291"/>
      <c r="U197" s="291"/>
      <c r="V197" s="291"/>
    </row>
    <row r="198" spans="1:22">
      <c r="A198" s="147"/>
      <c r="B198" s="291"/>
      <c r="C198" s="291"/>
      <c r="D198" s="291"/>
      <c r="E198" s="291"/>
      <c r="F198" s="291"/>
      <c r="G198" s="291"/>
      <c r="H198" s="291"/>
      <c r="I198" s="291"/>
      <c r="J198" s="291"/>
      <c r="K198" s="291"/>
      <c r="L198" s="291"/>
      <c r="M198" s="291"/>
      <c r="N198" s="291"/>
      <c r="O198" s="291"/>
      <c r="P198" s="291"/>
      <c r="Q198" s="291"/>
      <c r="R198" s="291"/>
      <c r="S198" s="291"/>
      <c r="T198" s="291"/>
      <c r="U198" s="291"/>
      <c r="V198" s="291"/>
    </row>
    <row r="199" spans="1:22">
      <c r="A199" s="127"/>
      <c r="B199" s="291"/>
      <c r="C199" s="291"/>
      <c r="D199" s="291"/>
      <c r="E199" s="291"/>
      <c r="F199" s="291"/>
      <c r="G199" s="291"/>
      <c r="H199" s="291"/>
      <c r="I199" s="291"/>
      <c r="J199" s="291"/>
      <c r="K199" s="291"/>
      <c r="L199" s="291"/>
      <c r="M199" s="291"/>
      <c r="N199" s="291"/>
      <c r="O199" s="291"/>
      <c r="P199" s="291"/>
      <c r="Q199" s="291"/>
      <c r="R199" s="291"/>
      <c r="S199" s="291"/>
      <c r="T199" s="291"/>
      <c r="U199" s="291"/>
      <c r="V199" s="291"/>
    </row>
    <row r="200" spans="1:22">
      <c r="A200" s="127"/>
      <c r="B200" s="291"/>
      <c r="C200" s="291"/>
      <c r="D200" s="291"/>
      <c r="E200" s="291"/>
      <c r="F200" s="291"/>
      <c r="G200" s="291"/>
      <c r="H200" s="291"/>
      <c r="I200" s="291"/>
      <c r="J200" s="291"/>
      <c r="K200" s="291"/>
      <c r="L200" s="291"/>
      <c r="M200" s="291"/>
      <c r="N200" s="291"/>
      <c r="O200" s="291"/>
      <c r="P200" s="291"/>
      <c r="Q200" s="291"/>
      <c r="R200" s="291"/>
      <c r="S200" s="291"/>
      <c r="T200" s="291"/>
      <c r="U200" s="291"/>
      <c r="V200" s="291"/>
    </row>
    <row r="201" spans="1:22">
      <c r="A201" s="127"/>
      <c r="B201" s="291"/>
      <c r="C201" s="291"/>
      <c r="D201" s="291"/>
      <c r="E201" s="291"/>
      <c r="F201" s="291"/>
      <c r="G201" s="291"/>
      <c r="H201" s="291"/>
      <c r="I201" s="291"/>
      <c r="J201" s="291"/>
      <c r="K201" s="291"/>
      <c r="L201" s="291"/>
      <c r="M201" s="291"/>
      <c r="N201" s="291"/>
      <c r="O201" s="291"/>
      <c r="P201" s="291"/>
      <c r="Q201" s="291"/>
      <c r="R201" s="291"/>
      <c r="S201" s="291"/>
      <c r="T201" s="291"/>
      <c r="U201" s="291"/>
      <c r="V201" s="291"/>
    </row>
    <row r="202" spans="1:22">
      <c r="A202" s="127"/>
      <c r="B202" s="291"/>
      <c r="C202" s="291"/>
      <c r="D202" s="291"/>
      <c r="E202" s="291"/>
      <c r="F202" s="291"/>
      <c r="G202" s="291"/>
      <c r="H202" s="291"/>
      <c r="I202" s="291"/>
      <c r="J202" s="291"/>
      <c r="K202" s="291"/>
      <c r="L202" s="291"/>
      <c r="M202" s="291"/>
      <c r="N202" s="291"/>
      <c r="O202" s="291"/>
      <c r="P202" s="291"/>
      <c r="Q202" s="291"/>
      <c r="R202" s="291"/>
      <c r="S202" s="291"/>
      <c r="T202" s="291"/>
      <c r="U202" s="291"/>
      <c r="V202" s="291"/>
    </row>
    <row r="203" spans="1:22">
      <c r="A203" s="127"/>
      <c r="B203" s="291"/>
      <c r="C203" s="291"/>
      <c r="D203" s="291"/>
      <c r="E203" s="291"/>
      <c r="F203" s="291"/>
      <c r="G203" s="291"/>
      <c r="H203" s="291"/>
      <c r="I203" s="291"/>
      <c r="J203" s="291"/>
      <c r="K203" s="291"/>
      <c r="L203" s="291"/>
      <c r="M203" s="291"/>
      <c r="N203" s="291"/>
      <c r="O203" s="291"/>
      <c r="P203" s="291"/>
      <c r="Q203" s="291"/>
      <c r="R203" s="291"/>
      <c r="S203" s="291"/>
      <c r="T203" s="291"/>
      <c r="U203" s="291"/>
      <c r="V203" s="291"/>
    </row>
    <row r="204" spans="1:22">
      <c r="A204" s="127"/>
      <c r="B204" s="291"/>
      <c r="C204" s="291"/>
      <c r="D204" s="291"/>
      <c r="E204" s="291"/>
      <c r="F204" s="291"/>
      <c r="G204" s="291"/>
      <c r="H204" s="291"/>
      <c r="I204" s="291"/>
      <c r="J204" s="291"/>
      <c r="K204" s="291"/>
      <c r="L204" s="291"/>
      <c r="M204" s="291"/>
      <c r="N204" s="291"/>
      <c r="O204" s="291"/>
      <c r="P204" s="291"/>
      <c r="Q204" s="291"/>
      <c r="R204" s="291"/>
      <c r="S204" s="291"/>
      <c r="T204" s="291"/>
      <c r="U204" s="291"/>
      <c r="V204" s="291"/>
    </row>
    <row r="205" spans="1:22">
      <c r="A205" s="127"/>
      <c r="B205" s="291"/>
      <c r="C205" s="291"/>
      <c r="D205" s="291"/>
      <c r="E205" s="291"/>
      <c r="F205" s="291"/>
      <c r="G205" s="291"/>
      <c r="H205" s="291"/>
      <c r="I205" s="291"/>
      <c r="J205" s="291"/>
      <c r="K205" s="291"/>
      <c r="L205" s="291"/>
      <c r="M205" s="291"/>
      <c r="N205" s="291"/>
      <c r="O205" s="291"/>
      <c r="P205" s="291"/>
      <c r="Q205" s="291"/>
      <c r="R205" s="291"/>
      <c r="S205" s="291"/>
      <c r="T205" s="291"/>
      <c r="U205" s="291"/>
      <c r="V205" s="291"/>
    </row>
    <row r="206" spans="1:22">
      <c r="A206" s="127"/>
      <c r="B206" s="291"/>
      <c r="C206" s="291"/>
      <c r="D206" s="291"/>
      <c r="E206" s="291"/>
      <c r="F206" s="291"/>
      <c r="G206" s="291"/>
      <c r="H206" s="291"/>
      <c r="I206" s="291"/>
      <c r="J206" s="291"/>
      <c r="K206" s="291"/>
      <c r="L206" s="291"/>
      <c r="M206" s="291"/>
      <c r="N206" s="291"/>
      <c r="O206" s="291"/>
      <c r="P206" s="291"/>
      <c r="Q206" s="291"/>
      <c r="R206" s="291"/>
      <c r="S206" s="291"/>
      <c r="T206" s="291"/>
      <c r="U206" s="291"/>
      <c r="V206" s="291"/>
    </row>
    <row r="207" spans="1:22">
      <c r="A207" s="127"/>
      <c r="B207" s="291"/>
      <c r="C207" s="291"/>
      <c r="D207" s="291"/>
      <c r="E207" s="291"/>
      <c r="F207" s="291"/>
      <c r="G207" s="291"/>
      <c r="H207" s="291"/>
      <c r="I207" s="291"/>
      <c r="J207" s="291"/>
      <c r="K207" s="291"/>
      <c r="L207" s="291"/>
      <c r="M207" s="291"/>
      <c r="N207" s="291"/>
      <c r="O207" s="291"/>
      <c r="P207" s="291"/>
      <c r="Q207" s="291"/>
      <c r="R207" s="291"/>
      <c r="S207" s="291"/>
      <c r="T207" s="291"/>
      <c r="U207" s="291"/>
      <c r="V207" s="291"/>
    </row>
    <row r="208" spans="1:22">
      <c r="A208" s="127"/>
      <c r="B208" s="291"/>
      <c r="C208" s="291"/>
      <c r="D208" s="291"/>
      <c r="E208" s="291"/>
      <c r="F208" s="291"/>
      <c r="G208" s="291"/>
      <c r="H208" s="291"/>
      <c r="I208" s="291"/>
      <c r="J208" s="291"/>
      <c r="K208" s="291"/>
      <c r="L208" s="291"/>
      <c r="M208" s="291"/>
      <c r="N208" s="291"/>
      <c r="O208" s="291"/>
      <c r="P208" s="291"/>
      <c r="Q208" s="291"/>
      <c r="R208" s="291"/>
      <c r="S208" s="291"/>
      <c r="T208" s="291"/>
      <c r="U208" s="291"/>
      <c r="V208" s="291"/>
    </row>
    <row r="209" spans="1:22">
      <c r="A209" s="127"/>
      <c r="B209" s="291"/>
      <c r="C209" s="291"/>
      <c r="D209" s="291"/>
      <c r="E209" s="291"/>
      <c r="F209" s="291"/>
      <c r="G209" s="291"/>
      <c r="H209" s="291"/>
      <c r="I209" s="291"/>
      <c r="J209" s="291"/>
      <c r="K209" s="291"/>
      <c r="L209" s="291"/>
      <c r="M209" s="291"/>
      <c r="N209" s="291"/>
      <c r="O209" s="291"/>
      <c r="P209" s="291"/>
      <c r="Q209" s="291"/>
      <c r="R209" s="291"/>
      <c r="S209" s="291"/>
      <c r="T209" s="291"/>
      <c r="U209" s="291"/>
      <c r="V209" s="291"/>
    </row>
    <row r="210" spans="1:22">
      <c r="A210" s="127"/>
      <c r="B210" s="291"/>
      <c r="C210" s="291"/>
      <c r="D210" s="291"/>
      <c r="E210" s="291"/>
      <c r="F210" s="291"/>
      <c r="G210" s="291"/>
      <c r="H210" s="291"/>
      <c r="I210" s="291"/>
      <c r="J210" s="291"/>
      <c r="K210" s="291"/>
      <c r="L210" s="291"/>
      <c r="M210" s="291"/>
      <c r="N210" s="291"/>
      <c r="O210" s="291"/>
      <c r="P210" s="291"/>
      <c r="Q210" s="291"/>
      <c r="R210" s="291"/>
      <c r="S210" s="291"/>
      <c r="T210" s="291"/>
      <c r="U210" s="291"/>
      <c r="V210" s="291"/>
    </row>
    <row r="211" spans="1:22">
      <c r="A211" s="127"/>
      <c r="B211" s="291"/>
      <c r="C211" s="291"/>
      <c r="D211" s="291"/>
      <c r="E211" s="291"/>
      <c r="F211" s="291"/>
      <c r="G211" s="291"/>
      <c r="H211" s="291"/>
      <c r="I211" s="291"/>
      <c r="J211" s="291"/>
      <c r="K211" s="291"/>
      <c r="L211" s="291"/>
      <c r="M211" s="291"/>
      <c r="N211" s="291"/>
      <c r="O211" s="291"/>
      <c r="P211" s="291"/>
      <c r="Q211" s="291"/>
      <c r="R211" s="291"/>
      <c r="S211" s="291"/>
      <c r="T211" s="291"/>
      <c r="U211" s="291"/>
      <c r="V211" s="291"/>
    </row>
    <row r="212" spans="1:22">
      <c r="A212" s="127"/>
      <c r="B212" s="291"/>
      <c r="C212" s="291"/>
      <c r="D212" s="291"/>
      <c r="E212" s="291"/>
      <c r="F212" s="291"/>
      <c r="G212" s="291"/>
      <c r="H212" s="291"/>
      <c r="I212" s="291"/>
      <c r="J212" s="291"/>
      <c r="K212" s="291"/>
      <c r="L212" s="291"/>
      <c r="M212" s="291"/>
      <c r="N212" s="291"/>
      <c r="O212" s="291"/>
      <c r="P212" s="291"/>
      <c r="Q212" s="291"/>
      <c r="R212" s="291"/>
      <c r="S212" s="291"/>
      <c r="T212" s="291"/>
      <c r="U212" s="291"/>
      <c r="V212" s="291"/>
    </row>
    <row r="213" spans="1:22">
      <c r="A213" s="127"/>
      <c r="B213" s="291"/>
      <c r="C213" s="291"/>
      <c r="D213" s="291"/>
      <c r="E213" s="291"/>
      <c r="F213" s="291"/>
      <c r="G213" s="291"/>
      <c r="H213" s="291"/>
      <c r="I213" s="291"/>
      <c r="J213" s="291"/>
      <c r="K213" s="291"/>
      <c r="L213" s="291"/>
      <c r="M213" s="291"/>
      <c r="N213" s="291"/>
      <c r="O213" s="291"/>
      <c r="P213" s="291"/>
      <c r="Q213" s="291"/>
      <c r="R213" s="291"/>
      <c r="S213" s="291"/>
      <c r="T213" s="291"/>
      <c r="U213" s="291"/>
      <c r="V213" s="291"/>
    </row>
    <row r="214" spans="1:22">
      <c r="A214" s="127"/>
      <c r="B214" s="291"/>
      <c r="C214" s="291"/>
      <c r="D214" s="291"/>
      <c r="E214" s="291"/>
      <c r="F214" s="291"/>
      <c r="G214" s="291"/>
      <c r="H214" s="291"/>
      <c r="I214" s="291"/>
      <c r="J214" s="291"/>
      <c r="K214" s="291"/>
      <c r="L214" s="291"/>
      <c r="M214" s="291"/>
      <c r="N214" s="291"/>
      <c r="O214" s="291"/>
      <c r="P214" s="291"/>
      <c r="Q214" s="291"/>
      <c r="R214" s="291"/>
      <c r="S214" s="291"/>
      <c r="T214" s="291"/>
      <c r="U214" s="291"/>
      <c r="V214" s="291"/>
    </row>
    <row r="215" spans="1:22">
      <c r="A215" s="127"/>
      <c r="B215" s="291"/>
      <c r="C215" s="291"/>
      <c r="D215" s="291"/>
      <c r="E215" s="291"/>
      <c r="F215" s="291"/>
      <c r="G215" s="291"/>
      <c r="H215" s="291"/>
      <c r="I215" s="291"/>
      <c r="J215" s="291"/>
      <c r="K215" s="291"/>
      <c r="L215" s="291"/>
      <c r="M215" s="291"/>
      <c r="N215" s="291"/>
      <c r="O215" s="291"/>
      <c r="P215" s="291"/>
      <c r="Q215" s="291"/>
      <c r="R215" s="291"/>
      <c r="S215" s="291"/>
      <c r="T215" s="291"/>
      <c r="U215" s="291"/>
      <c r="V215" s="291"/>
    </row>
    <row r="216" spans="1:22">
      <c r="A216" s="127"/>
      <c r="B216" s="291"/>
      <c r="C216" s="291"/>
      <c r="D216" s="291"/>
      <c r="E216" s="291"/>
      <c r="F216" s="291"/>
      <c r="G216" s="291"/>
      <c r="H216" s="291"/>
      <c r="I216" s="291"/>
      <c r="J216" s="291"/>
      <c r="K216" s="291"/>
      <c r="L216" s="291"/>
      <c r="M216" s="291"/>
      <c r="N216" s="291"/>
      <c r="O216" s="291"/>
      <c r="P216" s="291"/>
      <c r="Q216" s="291"/>
      <c r="R216" s="291"/>
      <c r="S216" s="291"/>
      <c r="T216" s="291"/>
      <c r="U216" s="291"/>
      <c r="V216" s="291"/>
    </row>
    <row r="217" spans="1:22">
      <c r="A217" s="127"/>
      <c r="B217" s="291"/>
      <c r="C217" s="291"/>
      <c r="D217" s="291"/>
      <c r="E217" s="291"/>
      <c r="F217" s="291"/>
      <c r="G217" s="291"/>
      <c r="H217" s="291"/>
      <c r="I217" s="291"/>
      <c r="J217" s="291"/>
      <c r="K217" s="291"/>
      <c r="L217" s="291"/>
      <c r="M217" s="291"/>
      <c r="N217" s="291"/>
      <c r="O217" s="291"/>
      <c r="P217" s="291"/>
      <c r="Q217" s="291"/>
      <c r="R217" s="291"/>
      <c r="S217" s="291"/>
      <c r="T217" s="291"/>
      <c r="U217" s="291"/>
      <c r="V217" s="291"/>
    </row>
    <row r="218" spans="1:22">
      <c r="A218" s="127"/>
      <c r="B218" s="291"/>
      <c r="C218" s="291"/>
      <c r="D218" s="291"/>
      <c r="E218" s="291"/>
      <c r="F218" s="291"/>
      <c r="G218" s="291"/>
      <c r="H218" s="291"/>
      <c r="I218" s="291"/>
      <c r="J218" s="291"/>
      <c r="K218" s="291"/>
      <c r="L218" s="291"/>
      <c r="M218" s="291"/>
      <c r="N218" s="291"/>
      <c r="O218" s="291"/>
      <c r="P218" s="291"/>
      <c r="Q218" s="291"/>
      <c r="R218" s="291"/>
      <c r="S218" s="291"/>
      <c r="T218" s="291"/>
      <c r="U218" s="291"/>
      <c r="V218" s="291"/>
    </row>
    <row r="219" spans="1:22">
      <c r="A219" s="127"/>
      <c r="B219" s="291"/>
      <c r="C219" s="291"/>
      <c r="D219" s="291"/>
      <c r="E219" s="291"/>
      <c r="F219" s="291"/>
      <c r="G219" s="291"/>
      <c r="H219" s="291"/>
      <c r="I219" s="291"/>
      <c r="J219" s="291"/>
      <c r="K219" s="291"/>
      <c r="L219" s="291"/>
      <c r="M219" s="291"/>
      <c r="N219" s="291"/>
      <c r="O219" s="291"/>
      <c r="P219" s="291"/>
      <c r="Q219" s="291"/>
      <c r="R219" s="291"/>
      <c r="S219" s="291"/>
      <c r="T219" s="291"/>
      <c r="U219" s="291"/>
      <c r="V219" s="291"/>
    </row>
    <row r="220" spans="1:22">
      <c r="A220" s="127"/>
      <c r="B220" s="291"/>
      <c r="C220" s="291"/>
      <c r="D220" s="291"/>
      <c r="E220" s="291"/>
      <c r="F220" s="291"/>
      <c r="G220" s="291"/>
      <c r="H220" s="291"/>
      <c r="I220" s="291"/>
      <c r="J220" s="291"/>
      <c r="K220" s="291"/>
      <c r="L220" s="291"/>
      <c r="M220" s="291"/>
      <c r="N220" s="291"/>
      <c r="O220" s="291"/>
      <c r="P220" s="291"/>
      <c r="Q220" s="291"/>
      <c r="R220" s="291"/>
      <c r="S220" s="291"/>
      <c r="T220" s="291"/>
      <c r="U220" s="291"/>
      <c r="V220" s="291"/>
    </row>
    <row r="221" spans="1:22">
      <c r="A221" s="127"/>
      <c r="B221" s="291"/>
      <c r="C221" s="291"/>
      <c r="D221" s="291"/>
      <c r="E221" s="291"/>
      <c r="F221" s="291"/>
      <c r="G221" s="291"/>
      <c r="H221" s="291"/>
      <c r="I221" s="291"/>
      <c r="J221" s="291"/>
      <c r="K221" s="291"/>
      <c r="L221" s="291"/>
      <c r="M221" s="291"/>
      <c r="N221" s="291"/>
      <c r="O221" s="291"/>
      <c r="P221" s="291"/>
      <c r="Q221" s="291"/>
      <c r="R221" s="291"/>
      <c r="S221" s="291"/>
      <c r="T221" s="291"/>
      <c r="U221" s="291"/>
      <c r="V221" s="291"/>
    </row>
    <row r="222" spans="1:22">
      <c r="A222" s="127"/>
      <c r="B222" s="291"/>
      <c r="C222" s="291"/>
      <c r="D222" s="291"/>
      <c r="E222" s="291"/>
      <c r="F222" s="291"/>
      <c r="G222" s="291"/>
      <c r="H222" s="291"/>
      <c r="I222" s="291"/>
      <c r="J222" s="291"/>
      <c r="K222" s="291"/>
      <c r="L222" s="291"/>
      <c r="M222" s="291"/>
      <c r="N222" s="291"/>
      <c r="O222" s="291"/>
      <c r="P222" s="291"/>
      <c r="Q222" s="291"/>
      <c r="R222" s="291"/>
      <c r="S222" s="291"/>
      <c r="T222" s="291"/>
      <c r="U222" s="291"/>
      <c r="V222" s="291"/>
    </row>
    <row r="223" spans="1:22">
      <c r="A223" s="127"/>
      <c r="B223" s="291"/>
      <c r="C223" s="291"/>
      <c r="D223" s="291"/>
      <c r="E223" s="291"/>
      <c r="F223" s="291"/>
      <c r="G223" s="291"/>
      <c r="H223" s="291"/>
      <c r="I223" s="291"/>
      <c r="J223" s="291"/>
      <c r="K223" s="291"/>
      <c r="L223" s="291"/>
      <c r="M223" s="291"/>
      <c r="N223" s="291"/>
      <c r="O223" s="291"/>
      <c r="P223" s="291"/>
      <c r="Q223" s="291"/>
      <c r="R223" s="291"/>
      <c r="S223" s="291"/>
      <c r="T223" s="291"/>
      <c r="U223" s="291"/>
      <c r="V223" s="291"/>
    </row>
    <row r="224" spans="1:22">
      <c r="A224" s="127"/>
      <c r="B224" s="291"/>
      <c r="C224" s="291"/>
      <c r="D224" s="291"/>
      <c r="E224" s="291"/>
      <c r="F224" s="291"/>
      <c r="G224" s="291"/>
      <c r="H224" s="291"/>
      <c r="I224" s="291"/>
      <c r="J224" s="291"/>
      <c r="K224" s="291"/>
      <c r="L224" s="291"/>
      <c r="M224" s="291"/>
      <c r="N224" s="291"/>
      <c r="O224" s="291"/>
      <c r="P224" s="291"/>
      <c r="Q224" s="291"/>
      <c r="R224" s="291"/>
      <c r="S224" s="291"/>
      <c r="T224" s="291"/>
      <c r="U224" s="291"/>
      <c r="V224" s="291"/>
    </row>
    <row r="225" spans="1:22">
      <c r="A225" s="127"/>
      <c r="B225" s="291"/>
      <c r="C225" s="291"/>
      <c r="D225" s="291"/>
      <c r="E225" s="291"/>
      <c r="F225" s="291"/>
      <c r="G225" s="291"/>
      <c r="H225" s="291"/>
      <c r="I225" s="291"/>
      <c r="J225" s="291"/>
      <c r="K225" s="291"/>
      <c r="L225" s="291"/>
      <c r="M225" s="291"/>
      <c r="N225" s="291"/>
      <c r="O225" s="291"/>
      <c r="P225" s="291"/>
      <c r="Q225" s="291"/>
      <c r="R225" s="291"/>
      <c r="S225" s="291"/>
      <c r="T225" s="291"/>
      <c r="U225" s="291"/>
      <c r="V225" s="291"/>
    </row>
    <row r="226" spans="1:22">
      <c r="A226" s="127"/>
      <c r="B226" s="291"/>
      <c r="C226" s="291"/>
      <c r="D226" s="291"/>
      <c r="E226" s="291"/>
      <c r="F226" s="291"/>
      <c r="G226" s="291"/>
      <c r="H226" s="291"/>
      <c r="I226" s="291"/>
      <c r="J226" s="291"/>
      <c r="K226" s="291"/>
      <c r="L226" s="291"/>
      <c r="M226" s="291"/>
      <c r="N226" s="291"/>
      <c r="O226" s="291"/>
      <c r="P226" s="291"/>
      <c r="Q226" s="291"/>
      <c r="R226" s="291"/>
      <c r="S226" s="291"/>
      <c r="T226" s="291"/>
      <c r="U226" s="291"/>
      <c r="V226" s="291"/>
    </row>
    <row r="227" spans="1:22">
      <c r="A227" s="127"/>
      <c r="B227" s="291"/>
      <c r="C227" s="291"/>
      <c r="D227" s="291"/>
      <c r="E227" s="291"/>
      <c r="F227" s="291"/>
      <c r="G227" s="291"/>
      <c r="H227" s="291"/>
      <c r="I227" s="291"/>
      <c r="J227" s="291"/>
      <c r="K227" s="291"/>
      <c r="L227" s="291"/>
      <c r="M227" s="291"/>
      <c r="N227" s="291"/>
      <c r="O227" s="291"/>
      <c r="P227" s="291"/>
      <c r="Q227" s="291"/>
      <c r="R227" s="291"/>
      <c r="S227" s="291"/>
      <c r="T227" s="291"/>
      <c r="U227" s="291"/>
      <c r="V227" s="291"/>
    </row>
    <row r="228" spans="1:22">
      <c r="A228" s="127"/>
      <c r="B228" s="291"/>
      <c r="C228" s="291"/>
      <c r="D228" s="291"/>
      <c r="E228" s="291"/>
      <c r="F228" s="291"/>
      <c r="G228" s="291"/>
      <c r="H228" s="291"/>
      <c r="I228" s="291"/>
      <c r="J228" s="291"/>
      <c r="K228" s="291"/>
      <c r="L228" s="291"/>
      <c r="M228" s="291"/>
      <c r="N228" s="291"/>
      <c r="O228" s="291"/>
      <c r="P228" s="291"/>
      <c r="Q228" s="291"/>
      <c r="R228" s="291"/>
      <c r="S228" s="291"/>
      <c r="T228" s="291"/>
      <c r="U228" s="291"/>
      <c r="V228" s="291"/>
    </row>
    <row r="229" spans="1:22">
      <c r="A229" s="127"/>
      <c r="B229" s="291"/>
      <c r="C229" s="291"/>
      <c r="D229" s="291"/>
      <c r="E229" s="291"/>
      <c r="F229" s="291"/>
      <c r="G229" s="291"/>
      <c r="H229" s="291"/>
      <c r="I229" s="291"/>
      <c r="J229" s="291"/>
      <c r="K229" s="291"/>
      <c r="L229" s="291"/>
      <c r="M229" s="291"/>
      <c r="N229" s="291"/>
      <c r="O229" s="291"/>
      <c r="P229" s="291"/>
      <c r="Q229" s="291"/>
      <c r="R229" s="291"/>
      <c r="S229" s="291"/>
      <c r="T229" s="291"/>
      <c r="U229" s="291"/>
      <c r="V229" s="291"/>
    </row>
    <row r="230" spans="1:22">
      <c r="A230" s="127"/>
      <c r="B230" s="291"/>
      <c r="C230" s="291"/>
      <c r="D230" s="291"/>
      <c r="E230" s="291"/>
      <c r="F230" s="291"/>
      <c r="G230" s="291"/>
      <c r="H230" s="291"/>
      <c r="I230" s="291"/>
      <c r="J230" s="291"/>
      <c r="K230" s="291"/>
      <c r="L230" s="291"/>
      <c r="M230" s="291"/>
      <c r="N230" s="291"/>
      <c r="O230" s="291"/>
      <c r="P230" s="291"/>
      <c r="Q230" s="291"/>
      <c r="R230" s="291"/>
      <c r="S230" s="291"/>
      <c r="T230" s="291"/>
      <c r="U230" s="291"/>
      <c r="V230" s="291"/>
    </row>
    <row r="231" spans="1:22">
      <c r="A231" s="127"/>
      <c r="B231" s="291"/>
      <c r="C231" s="291"/>
      <c r="D231" s="291"/>
      <c r="E231" s="291"/>
      <c r="F231" s="291"/>
      <c r="G231" s="291"/>
      <c r="H231" s="291"/>
      <c r="I231" s="291"/>
      <c r="J231" s="291"/>
      <c r="K231" s="291"/>
      <c r="L231" s="291"/>
      <c r="M231" s="291"/>
      <c r="N231" s="291"/>
      <c r="O231" s="291"/>
      <c r="P231" s="291"/>
      <c r="Q231" s="291"/>
      <c r="R231" s="291"/>
      <c r="S231" s="291"/>
      <c r="T231" s="291"/>
      <c r="U231" s="291"/>
      <c r="V231" s="291"/>
    </row>
    <row r="232" spans="1:22">
      <c r="A232" s="127"/>
      <c r="B232" s="291"/>
      <c r="C232" s="291"/>
      <c r="D232" s="291"/>
      <c r="E232" s="291"/>
      <c r="F232" s="291"/>
      <c r="G232" s="291"/>
      <c r="H232" s="291"/>
      <c r="I232" s="291"/>
      <c r="J232" s="291"/>
      <c r="K232" s="291"/>
      <c r="L232" s="291"/>
      <c r="M232" s="291"/>
      <c r="N232" s="291"/>
      <c r="O232" s="291"/>
      <c r="P232" s="291"/>
      <c r="Q232" s="291"/>
      <c r="R232" s="291"/>
      <c r="S232" s="291"/>
      <c r="T232" s="291"/>
      <c r="U232" s="291"/>
      <c r="V232" s="291"/>
    </row>
    <row r="233" spans="1:22">
      <c r="A233" s="127"/>
      <c r="B233" s="291"/>
      <c r="C233" s="291"/>
      <c r="D233" s="291"/>
      <c r="E233" s="291"/>
      <c r="F233" s="291"/>
      <c r="G233" s="291"/>
      <c r="H233" s="291"/>
      <c r="I233" s="291"/>
      <c r="J233" s="291"/>
      <c r="K233" s="291"/>
      <c r="L233" s="291"/>
      <c r="M233" s="291"/>
      <c r="N233" s="291"/>
      <c r="O233" s="291"/>
      <c r="P233" s="291"/>
      <c r="Q233" s="291"/>
      <c r="R233" s="291"/>
      <c r="S233" s="291"/>
      <c r="T233" s="291"/>
      <c r="U233" s="291"/>
      <c r="V233" s="291"/>
    </row>
    <row r="234" spans="1:22">
      <c r="A234" s="127"/>
      <c r="B234" s="291"/>
      <c r="C234" s="291"/>
      <c r="D234" s="291"/>
      <c r="E234" s="291"/>
      <c r="F234" s="291"/>
      <c r="G234" s="291"/>
      <c r="H234" s="291"/>
      <c r="I234" s="291"/>
      <c r="J234" s="291"/>
      <c r="K234" s="291"/>
      <c r="L234" s="291"/>
      <c r="M234" s="291"/>
      <c r="N234" s="291"/>
      <c r="O234" s="291"/>
      <c r="P234" s="291"/>
      <c r="Q234" s="291"/>
      <c r="R234" s="291"/>
      <c r="S234" s="291"/>
      <c r="T234" s="291"/>
      <c r="U234" s="291"/>
      <c r="V234" s="291"/>
    </row>
    <row r="235" spans="1:22">
      <c r="A235" s="127"/>
      <c r="B235" s="291"/>
      <c r="C235" s="291"/>
      <c r="D235" s="291"/>
      <c r="E235" s="291"/>
      <c r="F235" s="291"/>
      <c r="G235" s="291"/>
      <c r="H235" s="291"/>
      <c r="I235" s="291"/>
      <c r="J235" s="291"/>
      <c r="K235" s="291"/>
      <c r="L235" s="291"/>
      <c r="M235" s="291"/>
      <c r="N235" s="291"/>
      <c r="O235" s="291"/>
      <c r="P235" s="291"/>
      <c r="Q235" s="291"/>
      <c r="R235" s="291"/>
      <c r="S235" s="291"/>
      <c r="T235" s="291"/>
      <c r="U235" s="291"/>
      <c r="V235" s="291"/>
    </row>
    <row r="236" spans="1:22">
      <c r="A236" s="127"/>
      <c r="B236" s="291"/>
      <c r="C236" s="291"/>
      <c r="D236" s="291"/>
      <c r="E236" s="291"/>
      <c r="F236" s="291"/>
      <c r="G236" s="291"/>
      <c r="H236" s="291"/>
      <c r="I236" s="291"/>
      <c r="J236" s="291"/>
      <c r="K236" s="291"/>
      <c r="L236" s="291"/>
      <c r="M236" s="291"/>
      <c r="N236" s="291"/>
      <c r="O236" s="291"/>
      <c r="P236" s="291"/>
      <c r="Q236" s="291"/>
      <c r="R236" s="291"/>
      <c r="S236" s="291"/>
      <c r="T236" s="291"/>
      <c r="U236" s="291"/>
      <c r="V236" s="291"/>
    </row>
    <row r="237" spans="1:22">
      <c r="A237" s="127"/>
      <c r="B237" s="291"/>
      <c r="C237" s="291"/>
      <c r="D237" s="291"/>
      <c r="E237" s="291"/>
      <c r="F237" s="291"/>
      <c r="G237" s="291"/>
      <c r="H237" s="291"/>
      <c r="I237" s="291"/>
      <c r="J237" s="291"/>
      <c r="K237" s="291"/>
      <c r="L237" s="291"/>
      <c r="M237" s="291"/>
      <c r="N237" s="291"/>
      <c r="O237" s="291"/>
      <c r="P237" s="291"/>
      <c r="Q237" s="291"/>
      <c r="R237" s="291"/>
      <c r="S237" s="291"/>
      <c r="T237" s="291"/>
      <c r="U237" s="291"/>
      <c r="V237" s="291"/>
    </row>
    <row r="238" spans="1:22">
      <c r="A238" s="127"/>
      <c r="B238" s="291"/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  <c r="O238" s="291"/>
      <c r="P238" s="291"/>
      <c r="Q238" s="291"/>
      <c r="R238" s="291"/>
      <c r="S238" s="291"/>
      <c r="T238" s="291"/>
      <c r="U238" s="291"/>
      <c r="V238" s="291"/>
    </row>
    <row r="239" spans="1:22">
      <c r="A239" s="127"/>
      <c r="B239" s="291"/>
      <c r="C239" s="291"/>
      <c r="D239" s="291"/>
      <c r="E239" s="291"/>
      <c r="F239" s="291"/>
      <c r="G239" s="291"/>
      <c r="H239" s="291"/>
      <c r="I239" s="291"/>
      <c r="J239" s="291"/>
      <c r="K239" s="291"/>
      <c r="L239" s="291"/>
      <c r="M239" s="291"/>
      <c r="N239" s="291"/>
      <c r="O239" s="291"/>
      <c r="P239" s="291"/>
      <c r="Q239" s="291"/>
      <c r="R239" s="291"/>
      <c r="S239" s="291"/>
      <c r="T239" s="291"/>
      <c r="U239" s="291"/>
      <c r="V239" s="291"/>
    </row>
    <row r="240" spans="1:22">
      <c r="A240" s="127"/>
      <c r="B240" s="291"/>
      <c r="C240" s="291"/>
      <c r="D240" s="291"/>
      <c r="E240" s="291"/>
      <c r="F240" s="291"/>
      <c r="G240" s="291"/>
      <c r="H240" s="291"/>
      <c r="I240" s="291"/>
      <c r="J240" s="291"/>
      <c r="K240" s="291"/>
      <c r="L240" s="291"/>
      <c r="M240" s="291"/>
      <c r="N240" s="291"/>
      <c r="O240" s="291"/>
      <c r="P240" s="291"/>
      <c r="Q240" s="291"/>
      <c r="R240" s="291"/>
      <c r="S240" s="291"/>
      <c r="T240" s="291"/>
      <c r="U240" s="291"/>
      <c r="V240" s="291"/>
    </row>
    <row r="241" spans="1:22">
      <c r="A241" s="127"/>
      <c r="B241" s="291"/>
      <c r="C241" s="291"/>
      <c r="D241" s="291"/>
      <c r="E241" s="291"/>
      <c r="F241" s="291"/>
      <c r="G241" s="291"/>
      <c r="H241" s="291"/>
      <c r="I241" s="291"/>
      <c r="J241" s="291"/>
      <c r="K241" s="291"/>
      <c r="L241" s="291"/>
      <c r="M241" s="291"/>
      <c r="N241" s="291"/>
      <c r="O241" s="291"/>
      <c r="P241" s="291"/>
      <c r="Q241" s="291"/>
      <c r="R241" s="291"/>
      <c r="S241" s="291"/>
      <c r="T241" s="291"/>
      <c r="U241" s="291"/>
      <c r="V241" s="291"/>
    </row>
    <row r="242" spans="1:22">
      <c r="A242" s="127"/>
      <c r="B242" s="291"/>
      <c r="C242" s="291"/>
      <c r="D242" s="291"/>
      <c r="E242" s="291"/>
      <c r="F242" s="291"/>
      <c r="G242" s="291"/>
      <c r="H242" s="291"/>
      <c r="I242" s="291"/>
      <c r="J242" s="291"/>
      <c r="K242" s="291"/>
      <c r="L242" s="291"/>
      <c r="M242" s="291"/>
      <c r="N242" s="291"/>
      <c r="O242" s="291"/>
      <c r="P242" s="291"/>
      <c r="Q242" s="291"/>
      <c r="R242" s="291"/>
      <c r="S242" s="291"/>
      <c r="T242" s="291"/>
      <c r="U242" s="291"/>
      <c r="V242" s="291"/>
    </row>
    <row r="243" spans="1:22">
      <c r="A243" s="127"/>
      <c r="B243" s="291"/>
      <c r="C243" s="291"/>
      <c r="D243" s="291"/>
      <c r="E243" s="291"/>
      <c r="F243" s="291"/>
      <c r="G243" s="291"/>
      <c r="H243" s="291"/>
      <c r="I243" s="291"/>
      <c r="J243" s="291"/>
      <c r="K243" s="291"/>
      <c r="L243" s="291"/>
      <c r="M243" s="291"/>
      <c r="N243" s="291"/>
      <c r="O243" s="291"/>
      <c r="P243" s="291"/>
      <c r="Q243" s="291"/>
      <c r="R243" s="291"/>
      <c r="S243" s="291"/>
      <c r="T243" s="291"/>
      <c r="U243" s="291"/>
      <c r="V243" s="291"/>
    </row>
    <row r="244" spans="1:22">
      <c r="A244" s="127"/>
      <c r="B244" s="291"/>
      <c r="C244" s="291"/>
      <c r="D244" s="291"/>
      <c r="E244" s="291"/>
      <c r="F244" s="291"/>
      <c r="G244" s="291"/>
      <c r="H244" s="291"/>
      <c r="I244" s="291"/>
      <c r="J244" s="291"/>
      <c r="K244" s="291"/>
      <c r="L244" s="291"/>
      <c r="M244" s="291"/>
      <c r="N244" s="291"/>
      <c r="O244" s="291"/>
      <c r="P244" s="291"/>
      <c r="Q244" s="291"/>
      <c r="R244" s="291"/>
      <c r="S244" s="291"/>
      <c r="T244" s="291"/>
      <c r="U244" s="291"/>
      <c r="V244" s="291"/>
    </row>
    <row r="245" spans="1:22">
      <c r="A245" s="127"/>
      <c r="B245" s="291"/>
      <c r="C245" s="291"/>
      <c r="D245" s="291"/>
      <c r="E245" s="291"/>
      <c r="F245" s="291"/>
      <c r="G245" s="291"/>
      <c r="H245" s="291"/>
      <c r="I245" s="291"/>
      <c r="J245" s="291"/>
      <c r="K245" s="291"/>
      <c r="L245" s="291"/>
      <c r="M245" s="291"/>
      <c r="N245" s="291"/>
      <c r="O245" s="291"/>
      <c r="P245" s="291"/>
      <c r="Q245" s="291"/>
      <c r="R245" s="291"/>
      <c r="S245" s="291"/>
      <c r="T245" s="291"/>
      <c r="U245" s="291"/>
      <c r="V245" s="291"/>
    </row>
    <row r="246" spans="1:22">
      <c r="A246" s="127"/>
      <c r="B246" s="291"/>
      <c r="C246" s="291"/>
      <c r="D246" s="291"/>
      <c r="E246" s="291"/>
      <c r="F246" s="291"/>
      <c r="G246" s="291"/>
      <c r="H246" s="291"/>
      <c r="I246" s="291"/>
      <c r="J246" s="291"/>
      <c r="K246" s="291"/>
      <c r="L246" s="291"/>
      <c r="M246" s="291"/>
      <c r="N246" s="291"/>
      <c r="O246" s="291"/>
      <c r="P246" s="291"/>
      <c r="Q246" s="291"/>
      <c r="R246" s="291"/>
      <c r="S246" s="291"/>
      <c r="T246" s="291"/>
      <c r="U246" s="291"/>
      <c r="V246" s="291"/>
    </row>
    <row r="247" spans="1:22">
      <c r="A247" s="127"/>
      <c r="B247" s="291"/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  <c r="O247" s="291"/>
      <c r="P247" s="291"/>
      <c r="Q247" s="291"/>
      <c r="R247" s="291"/>
      <c r="S247" s="291"/>
      <c r="T247" s="291"/>
      <c r="U247" s="291"/>
      <c r="V247" s="291"/>
    </row>
    <row r="248" spans="1:22">
      <c r="A248" s="127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291"/>
      <c r="P248" s="291"/>
      <c r="Q248" s="291"/>
      <c r="R248" s="291"/>
      <c r="S248" s="291"/>
      <c r="T248" s="291"/>
      <c r="U248" s="291"/>
      <c r="V248" s="291"/>
    </row>
    <row r="249" spans="1:22">
      <c r="A249" s="127"/>
      <c r="B249" s="291"/>
      <c r="C249" s="291"/>
      <c r="D249" s="291"/>
      <c r="E249" s="291"/>
      <c r="F249" s="291"/>
      <c r="G249" s="291"/>
      <c r="H249" s="291"/>
      <c r="I249" s="291"/>
      <c r="J249" s="291"/>
      <c r="K249" s="291"/>
      <c r="L249" s="291"/>
      <c r="M249" s="291"/>
      <c r="N249" s="291"/>
      <c r="O249" s="291"/>
      <c r="P249" s="291"/>
      <c r="Q249" s="291"/>
      <c r="R249" s="291"/>
      <c r="S249" s="291"/>
      <c r="T249" s="291"/>
      <c r="U249" s="291"/>
      <c r="V249" s="291"/>
    </row>
    <row r="250" spans="1:22">
      <c r="A250" s="127"/>
      <c r="B250" s="291"/>
      <c r="C250" s="291"/>
      <c r="D250" s="291"/>
      <c r="E250" s="291"/>
      <c r="F250" s="291"/>
      <c r="G250" s="291"/>
      <c r="H250" s="291"/>
      <c r="I250" s="291"/>
      <c r="J250" s="291"/>
      <c r="K250" s="291"/>
      <c r="L250" s="291"/>
      <c r="M250" s="291"/>
      <c r="N250" s="291"/>
      <c r="O250" s="291"/>
      <c r="P250" s="291"/>
      <c r="Q250" s="291"/>
      <c r="R250" s="291"/>
      <c r="S250" s="291"/>
      <c r="T250" s="291"/>
      <c r="U250" s="291"/>
      <c r="V250" s="291"/>
    </row>
    <row r="251" spans="1:22">
      <c r="A251" s="127"/>
      <c r="B251" s="291"/>
      <c r="C251" s="291"/>
      <c r="D251" s="291"/>
      <c r="E251" s="291"/>
      <c r="F251" s="291"/>
      <c r="G251" s="291"/>
      <c r="H251" s="291"/>
      <c r="I251" s="291"/>
      <c r="J251" s="291"/>
      <c r="K251" s="291"/>
      <c r="L251" s="291"/>
      <c r="M251" s="291"/>
      <c r="N251" s="291"/>
      <c r="O251" s="291"/>
      <c r="P251" s="291"/>
      <c r="Q251" s="291"/>
      <c r="R251" s="291"/>
      <c r="S251" s="291"/>
      <c r="T251" s="291"/>
      <c r="U251" s="291"/>
      <c r="V251" s="291"/>
    </row>
    <row r="252" spans="1:22">
      <c r="A252" s="127"/>
      <c r="B252" s="291"/>
      <c r="C252" s="291"/>
      <c r="D252" s="291"/>
      <c r="E252" s="291"/>
      <c r="F252" s="291"/>
      <c r="G252" s="291"/>
      <c r="H252" s="291"/>
      <c r="I252" s="291"/>
      <c r="J252" s="291"/>
      <c r="K252" s="291"/>
      <c r="L252" s="291"/>
      <c r="M252" s="291"/>
      <c r="N252" s="291"/>
      <c r="O252" s="291"/>
      <c r="P252" s="291"/>
      <c r="Q252" s="291"/>
      <c r="R252" s="291"/>
      <c r="S252" s="291"/>
      <c r="T252" s="291"/>
      <c r="U252" s="291"/>
      <c r="V252" s="291"/>
    </row>
    <row r="253" spans="1:22">
      <c r="A253" s="127"/>
      <c r="B253" s="291"/>
      <c r="C253" s="291"/>
      <c r="D253" s="291"/>
      <c r="E253" s="291"/>
      <c r="F253" s="291"/>
      <c r="G253" s="291"/>
      <c r="H253" s="291"/>
      <c r="I253" s="291"/>
      <c r="J253" s="291"/>
      <c r="K253" s="291"/>
      <c r="L253" s="291"/>
      <c r="M253" s="291"/>
      <c r="N253" s="291"/>
      <c r="O253" s="291"/>
      <c r="P253" s="291"/>
      <c r="Q253" s="291"/>
      <c r="R253" s="291"/>
      <c r="S253" s="291"/>
      <c r="T253" s="291"/>
      <c r="U253" s="291"/>
      <c r="V253" s="291"/>
    </row>
    <row r="254" spans="1:22">
      <c r="A254" s="127"/>
      <c r="B254" s="291"/>
      <c r="C254" s="291"/>
      <c r="D254" s="291"/>
      <c r="E254" s="291"/>
      <c r="F254" s="291"/>
      <c r="G254" s="291"/>
      <c r="H254" s="291"/>
      <c r="I254" s="291"/>
      <c r="J254" s="291"/>
      <c r="K254" s="291"/>
      <c r="L254" s="291"/>
      <c r="M254" s="291"/>
      <c r="N254" s="291"/>
      <c r="O254" s="291"/>
      <c r="P254" s="291"/>
      <c r="Q254" s="291"/>
      <c r="R254" s="291"/>
      <c r="S254" s="291"/>
      <c r="T254" s="291"/>
      <c r="U254" s="291"/>
      <c r="V254" s="291"/>
    </row>
    <row r="255" spans="1:22">
      <c r="A255" s="127"/>
      <c r="B255" s="293"/>
      <c r="C255" s="294"/>
      <c r="D255" s="295"/>
      <c r="E255" s="293"/>
      <c r="F255" s="293"/>
      <c r="G255" s="293"/>
      <c r="H255" s="293"/>
      <c r="I255" s="295"/>
      <c r="J255" s="295"/>
      <c r="K255" s="295"/>
      <c r="L255" s="295"/>
      <c r="M255" s="295"/>
      <c r="N255" s="295"/>
      <c r="O255" s="295"/>
      <c r="P255" s="295"/>
      <c r="Q255" s="296"/>
      <c r="R255" s="296"/>
      <c r="S255" s="296"/>
      <c r="T255" s="296"/>
      <c r="U255" s="291"/>
      <c r="V255" s="291"/>
    </row>
    <row r="256" spans="1:22">
      <c r="A256" s="127"/>
      <c r="B256" s="293"/>
      <c r="C256" s="294"/>
      <c r="D256" s="295"/>
      <c r="E256" s="293"/>
      <c r="F256" s="293"/>
      <c r="G256" s="293"/>
      <c r="H256" s="293"/>
      <c r="I256" s="295"/>
      <c r="J256" s="295"/>
      <c r="K256" s="295"/>
      <c r="L256" s="295"/>
      <c r="M256" s="295"/>
      <c r="N256" s="295"/>
      <c r="O256" s="295"/>
      <c r="P256" s="295"/>
      <c r="Q256" s="296"/>
      <c r="R256" s="296"/>
      <c r="S256" s="296"/>
      <c r="T256" s="296"/>
      <c r="U256" s="291"/>
      <c r="V256" s="291"/>
    </row>
    <row r="257" spans="1:22">
      <c r="A257" s="127"/>
      <c r="B257" s="293"/>
      <c r="C257" s="294"/>
      <c r="D257" s="295"/>
      <c r="E257" s="293"/>
      <c r="F257" s="293"/>
      <c r="G257" s="293"/>
      <c r="H257" s="293"/>
      <c r="I257" s="295"/>
      <c r="J257" s="295"/>
      <c r="K257" s="295"/>
      <c r="L257" s="295"/>
      <c r="M257" s="295"/>
      <c r="N257" s="295"/>
      <c r="O257" s="295"/>
      <c r="P257" s="295"/>
      <c r="Q257" s="296"/>
      <c r="R257" s="296"/>
      <c r="S257" s="296"/>
      <c r="T257" s="296"/>
      <c r="U257" s="291"/>
      <c r="V257" s="291"/>
    </row>
    <row r="258" spans="1:22">
      <c r="A258" s="127"/>
      <c r="B258" s="293"/>
      <c r="C258" s="294"/>
      <c r="D258" s="295"/>
      <c r="E258" s="293"/>
      <c r="F258" s="293"/>
      <c r="G258" s="293"/>
      <c r="H258" s="293"/>
      <c r="I258" s="295"/>
      <c r="J258" s="295"/>
      <c r="K258" s="295"/>
      <c r="L258" s="295"/>
      <c r="M258" s="295"/>
      <c r="N258" s="295"/>
      <c r="O258" s="295"/>
      <c r="P258" s="295"/>
      <c r="Q258" s="296"/>
      <c r="R258" s="296"/>
      <c r="S258" s="296"/>
      <c r="T258" s="296"/>
      <c r="U258" s="291"/>
      <c r="V258" s="291"/>
    </row>
    <row r="259" spans="1:22">
      <c r="A259" s="127"/>
      <c r="B259" s="293"/>
      <c r="C259" s="294"/>
      <c r="D259" s="295"/>
      <c r="E259" s="293"/>
      <c r="F259" s="293"/>
      <c r="G259" s="293"/>
      <c r="H259" s="293"/>
      <c r="I259" s="295"/>
      <c r="J259" s="295"/>
      <c r="K259" s="295"/>
      <c r="L259" s="295"/>
      <c r="M259" s="295"/>
      <c r="N259" s="295"/>
      <c r="O259" s="295"/>
      <c r="P259" s="295"/>
      <c r="Q259" s="296"/>
      <c r="R259" s="296"/>
      <c r="S259" s="296"/>
      <c r="T259" s="296"/>
      <c r="U259" s="291"/>
      <c r="V259" s="291"/>
    </row>
    <row r="260" spans="1:22">
      <c r="A260" s="127"/>
      <c r="B260" s="293"/>
      <c r="C260" s="294"/>
      <c r="D260" s="295"/>
      <c r="E260" s="293"/>
      <c r="F260" s="293"/>
      <c r="G260" s="293"/>
      <c r="H260" s="293"/>
      <c r="I260" s="295"/>
      <c r="J260" s="295"/>
      <c r="K260" s="295"/>
      <c r="L260" s="295"/>
      <c r="M260" s="295"/>
      <c r="N260" s="295"/>
      <c r="O260" s="295"/>
      <c r="P260" s="295"/>
      <c r="Q260" s="296"/>
      <c r="R260" s="296"/>
      <c r="S260" s="296"/>
      <c r="T260" s="296"/>
      <c r="U260" s="291"/>
      <c r="V260" s="291"/>
    </row>
    <row r="261" spans="1:22">
      <c r="A261" s="127"/>
      <c r="B261" s="293"/>
      <c r="C261" s="294"/>
      <c r="D261" s="295"/>
      <c r="E261" s="293"/>
      <c r="F261" s="293"/>
      <c r="G261" s="293"/>
      <c r="H261" s="293"/>
      <c r="I261" s="295"/>
      <c r="J261" s="295"/>
      <c r="K261" s="295"/>
      <c r="L261" s="295"/>
      <c r="M261" s="295"/>
      <c r="N261" s="295"/>
      <c r="O261" s="295"/>
      <c r="P261" s="295"/>
      <c r="Q261" s="296"/>
      <c r="R261" s="296"/>
      <c r="S261" s="296"/>
      <c r="T261" s="296"/>
      <c r="U261" s="291"/>
      <c r="V261" s="291"/>
    </row>
    <row r="262" spans="1:22">
      <c r="A262" s="127"/>
      <c r="B262" s="293"/>
      <c r="C262" s="294"/>
      <c r="D262" s="295"/>
      <c r="E262" s="293"/>
      <c r="F262" s="293"/>
      <c r="G262" s="293"/>
      <c r="H262" s="293"/>
      <c r="I262" s="295"/>
      <c r="J262" s="295"/>
      <c r="K262" s="295"/>
      <c r="L262" s="295"/>
      <c r="M262" s="295"/>
      <c r="N262" s="295"/>
      <c r="O262" s="295"/>
      <c r="P262" s="295"/>
      <c r="Q262" s="296"/>
      <c r="R262" s="296"/>
      <c r="S262" s="296"/>
      <c r="T262" s="296"/>
      <c r="U262" s="291"/>
      <c r="V262" s="291"/>
    </row>
    <row r="263" spans="1:22">
      <c r="A263" s="127"/>
      <c r="B263" s="293"/>
      <c r="C263" s="294"/>
      <c r="D263" s="295"/>
      <c r="E263" s="293"/>
      <c r="F263" s="293"/>
      <c r="G263" s="293"/>
      <c r="H263" s="293"/>
      <c r="I263" s="295"/>
      <c r="J263" s="295"/>
      <c r="K263" s="295"/>
      <c r="L263" s="295"/>
      <c r="M263" s="295"/>
      <c r="N263" s="295"/>
      <c r="O263" s="295"/>
      <c r="P263" s="295"/>
      <c r="Q263" s="296"/>
      <c r="R263" s="296"/>
      <c r="S263" s="296"/>
      <c r="T263" s="296"/>
      <c r="U263" s="291"/>
      <c r="V263" s="291"/>
    </row>
    <row r="264" spans="1:22">
      <c r="A264" s="127"/>
      <c r="B264" s="293"/>
      <c r="C264" s="294"/>
      <c r="D264" s="295"/>
      <c r="E264" s="293"/>
      <c r="F264" s="293"/>
      <c r="G264" s="293"/>
      <c r="H264" s="293"/>
      <c r="I264" s="295"/>
      <c r="J264" s="295"/>
      <c r="K264" s="295"/>
      <c r="L264" s="295"/>
      <c r="M264" s="295"/>
      <c r="N264" s="295"/>
      <c r="O264" s="295"/>
      <c r="P264" s="295"/>
      <c r="Q264" s="296"/>
      <c r="R264" s="296"/>
      <c r="S264" s="296"/>
      <c r="T264" s="296"/>
      <c r="U264" s="291"/>
      <c r="V264" s="291"/>
    </row>
    <row r="265" spans="1:22">
      <c r="A265" s="127"/>
      <c r="B265" s="293"/>
      <c r="C265" s="294"/>
      <c r="D265" s="295"/>
      <c r="E265" s="293"/>
      <c r="F265" s="293"/>
      <c r="G265" s="293"/>
      <c r="H265" s="293"/>
      <c r="I265" s="295"/>
      <c r="J265" s="295"/>
      <c r="K265" s="295"/>
      <c r="L265" s="295"/>
      <c r="M265" s="295"/>
      <c r="N265" s="295"/>
      <c r="O265" s="295"/>
      <c r="P265" s="295"/>
      <c r="Q265" s="296"/>
      <c r="R265" s="296"/>
      <c r="S265" s="296"/>
      <c r="T265" s="296"/>
      <c r="U265" s="291"/>
      <c r="V265" s="291"/>
    </row>
    <row r="266" spans="1:22">
      <c r="A266" s="127"/>
      <c r="B266" s="293"/>
      <c r="C266" s="294"/>
      <c r="D266" s="295"/>
      <c r="E266" s="293"/>
      <c r="F266" s="293"/>
      <c r="G266" s="293"/>
      <c r="H266" s="293"/>
      <c r="I266" s="295"/>
      <c r="J266" s="295"/>
      <c r="K266" s="295"/>
      <c r="L266" s="295"/>
      <c r="M266" s="295"/>
      <c r="N266" s="295"/>
      <c r="O266" s="295"/>
      <c r="P266" s="295"/>
      <c r="Q266" s="296"/>
      <c r="R266" s="296"/>
      <c r="S266" s="296"/>
      <c r="T266" s="296"/>
      <c r="U266" s="291"/>
      <c r="V266" s="291"/>
    </row>
    <row r="267" spans="1:22">
      <c r="A267" s="127"/>
      <c r="B267" s="293"/>
      <c r="C267" s="294"/>
      <c r="D267" s="295"/>
      <c r="E267" s="293"/>
      <c r="F267" s="293"/>
      <c r="G267" s="293"/>
      <c r="H267" s="293"/>
      <c r="I267" s="295"/>
      <c r="J267" s="295"/>
      <c r="K267" s="295"/>
      <c r="L267" s="295"/>
      <c r="M267" s="295"/>
      <c r="N267" s="295"/>
      <c r="O267" s="295"/>
      <c r="P267" s="295"/>
      <c r="Q267" s="296"/>
      <c r="R267" s="296"/>
      <c r="S267" s="296"/>
      <c r="T267" s="296"/>
      <c r="U267" s="291"/>
      <c r="V267" s="291"/>
    </row>
    <row r="268" spans="1:22">
      <c r="A268" s="127"/>
      <c r="B268" s="293"/>
      <c r="C268" s="294"/>
      <c r="D268" s="295"/>
      <c r="E268" s="293"/>
      <c r="F268" s="293"/>
      <c r="G268" s="293"/>
      <c r="H268" s="293"/>
      <c r="I268" s="295"/>
      <c r="J268" s="295"/>
      <c r="K268" s="295"/>
      <c r="L268" s="295"/>
      <c r="M268" s="295"/>
      <c r="N268" s="295"/>
      <c r="O268" s="295"/>
      <c r="P268" s="295"/>
      <c r="Q268" s="296"/>
      <c r="R268" s="296"/>
      <c r="S268" s="296"/>
      <c r="T268" s="296"/>
      <c r="U268" s="291"/>
      <c r="V268" s="291"/>
    </row>
    <row r="269" spans="1:22">
      <c r="A269" s="127"/>
      <c r="B269" s="293"/>
      <c r="C269" s="294"/>
      <c r="D269" s="295"/>
      <c r="E269" s="293"/>
      <c r="F269" s="293"/>
      <c r="G269" s="293"/>
      <c r="H269" s="293"/>
      <c r="I269" s="295"/>
      <c r="J269" s="295"/>
      <c r="K269" s="295"/>
      <c r="L269" s="295"/>
      <c r="M269" s="295"/>
      <c r="N269" s="295"/>
      <c r="O269" s="295"/>
      <c r="P269" s="295"/>
      <c r="Q269" s="296"/>
      <c r="R269" s="296"/>
      <c r="S269" s="296"/>
      <c r="T269" s="296"/>
      <c r="U269" s="291"/>
      <c r="V269" s="291"/>
    </row>
    <row r="270" spans="1:22">
      <c r="A270" s="127"/>
      <c r="B270" s="293"/>
      <c r="C270" s="294"/>
      <c r="D270" s="295"/>
      <c r="E270" s="293"/>
      <c r="F270" s="293"/>
      <c r="G270" s="293"/>
      <c r="H270" s="293"/>
      <c r="I270" s="295"/>
      <c r="J270" s="295"/>
      <c r="K270" s="295"/>
      <c r="L270" s="295"/>
      <c r="M270" s="295"/>
      <c r="N270" s="295"/>
      <c r="O270" s="295"/>
      <c r="P270" s="295"/>
      <c r="Q270" s="296"/>
      <c r="R270" s="296"/>
      <c r="S270" s="296"/>
      <c r="T270" s="296"/>
      <c r="U270" s="291"/>
      <c r="V270" s="291"/>
    </row>
    <row r="271" spans="1:22">
      <c r="A271" s="127"/>
      <c r="B271" s="293"/>
      <c r="C271" s="294"/>
      <c r="D271" s="295"/>
      <c r="E271" s="293"/>
      <c r="F271" s="293"/>
      <c r="G271" s="293"/>
      <c r="H271" s="293"/>
      <c r="I271" s="295"/>
      <c r="J271" s="295"/>
      <c r="K271" s="295"/>
      <c r="L271" s="295"/>
      <c r="M271" s="295"/>
      <c r="N271" s="295"/>
      <c r="O271" s="295"/>
      <c r="P271" s="295"/>
      <c r="Q271" s="296"/>
      <c r="R271" s="296"/>
      <c r="S271" s="296"/>
      <c r="T271" s="296"/>
      <c r="U271" s="291"/>
      <c r="V271" s="291"/>
    </row>
    <row r="272" spans="1:22">
      <c r="A272" s="127"/>
      <c r="B272" s="293"/>
      <c r="C272" s="294"/>
      <c r="D272" s="295"/>
      <c r="E272" s="293"/>
      <c r="F272" s="293"/>
      <c r="G272" s="293"/>
      <c r="H272" s="293"/>
      <c r="I272" s="295"/>
      <c r="J272" s="295"/>
      <c r="K272" s="295"/>
      <c r="L272" s="295"/>
      <c r="M272" s="295"/>
      <c r="N272" s="295"/>
      <c r="O272" s="295"/>
      <c r="P272" s="295"/>
      <c r="Q272" s="296"/>
      <c r="R272" s="296"/>
      <c r="S272" s="296"/>
      <c r="T272" s="296"/>
      <c r="U272" s="291"/>
      <c r="V272" s="291"/>
    </row>
    <row r="273" spans="1:22">
      <c r="A273" s="127"/>
      <c r="B273" s="293"/>
      <c r="C273" s="294"/>
      <c r="D273" s="295"/>
      <c r="E273" s="293"/>
      <c r="F273" s="293"/>
      <c r="G273" s="293"/>
      <c r="H273" s="293"/>
      <c r="I273" s="295"/>
      <c r="J273" s="295"/>
      <c r="K273" s="295"/>
      <c r="L273" s="295"/>
      <c r="M273" s="295"/>
      <c r="N273" s="295"/>
      <c r="O273" s="295"/>
      <c r="P273" s="295"/>
      <c r="Q273" s="296"/>
      <c r="R273" s="296"/>
      <c r="S273" s="296"/>
      <c r="T273" s="296"/>
      <c r="U273" s="291"/>
      <c r="V273" s="291"/>
    </row>
    <row r="274" spans="1:22">
      <c r="A274" s="127"/>
      <c r="B274" s="293"/>
      <c r="C274" s="294"/>
      <c r="D274" s="295"/>
      <c r="E274" s="293"/>
      <c r="F274" s="293"/>
      <c r="G274" s="293"/>
      <c r="H274" s="293"/>
      <c r="I274" s="295"/>
      <c r="J274" s="295"/>
      <c r="K274" s="295"/>
      <c r="L274" s="295"/>
      <c r="M274" s="295"/>
      <c r="N274" s="295"/>
      <c r="O274" s="295"/>
      <c r="P274" s="295"/>
      <c r="Q274" s="296"/>
      <c r="R274" s="296"/>
      <c r="S274" s="296"/>
      <c r="T274" s="296"/>
      <c r="U274" s="291"/>
      <c r="V274" s="291"/>
    </row>
    <row r="275" spans="1:22">
      <c r="A275" s="127"/>
      <c r="B275" s="293"/>
      <c r="C275" s="294"/>
      <c r="D275" s="295"/>
      <c r="E275" s="293"/>
      <c r="F275" s="293"/>
      <c r="G275" s="293"/>
      <c r="H275" s="293"/>
      <c r="I275" s="295"/>
      <c r="J275" s="295"/>
      <c r="K275" s="295"/>
      <c r="L275" s="295"/>
      <c r="M275" s="295"/>
      <c r="N275" s="295"/>
      <c r="O275" s="295"/>
      <c r="P275" s="295"/>
      <c r="Q275" s="296"/>
      <c r="R275" s="296"/>
      <c r="S275" s="296"/>
      <c r="T275" s="296"/>
      <c r="U275" s="291"/>
      <c r="V275" s="291"/>
    </row>
    <row r="276" spans="1:22">
      <c r="A276" s="127"/>
      <c r="B276" s="293"/>
      <c r="C276" s="294"/>
      <c r="D276" s="295"/>
      <c r="E276" s="293"/>
      <c r="F276" s="293"/>
      <c r="G276" s="293"/>
      <c r="H276" s="293"/>
      <c r="I276" s="295"/>
      <c r="J276" s="295"/>
      <c r="K276" s="295"/>
      <c r="L276" s="295"/>
      <c r="M276" s="295"/>
      <c r="N276" s="295"/>
      <c r="O276" s="295"/>
      <c r="P276" s="295"/>
      <c r="Q276" s="296"/>
      <c r="R276" s="296"/>
      <c r="S276" s="296"/>
      <c r="T276" s="296"/>
      <c r="U276" s="291"/>
      <c r="V276" s="291"/>
    </row>
    <row r="277" spans="1:22">
      <c r="A277" s="127"/>
      <c r="B277" s="293"/>
      <c r="C277" s="294"/>
      <c r="D277" s="295"/>
      <c r="E277" s="293"/>
      <c r="F277" s="293"/>
      <c r="G277" s="293"/>
      <c r="H277" s="293"/>
      <c r="I277" s="295"/>
      <c r="J277" s="295"/>
      <c r="K277" s="295"/>
      <c r="L277" s="295"/>
      <c r="M277" s="295"/>
      <c r="N277" s="295"/>
      <c r="O277" s="295"/>
      <c r="P277" s="295"/>
      <c r="Q277" s="296"/>
      <c r="R277" s="296"/>
      <c r="S277" s="296"/>
      <c r="T277" s="296"/>
      <c r="U277" s="291"/>
      <c r="V277" s="291"/>
    </row>
    <row r="278" spans="1:22">
      <c r="A278" s="127"/>
      <c r="B278" s="293"/>
      <c r="C278" s="294"/>
      <c r="D278" s="295"/>
      <c r="E278" s="293"/>
      <c r="F278" s="293"/>
      <c r="G278" s="293"/>
      <c r="H278" s="293"/>
      <c r="I278" s="295"/>
      <c r="J278" s="295"/>
      <c r="K278" s="295"/>
      <c r="L278" s="295"/>
      <c r="M278" s="295"/>
      <c r="N278" s="295"/>
      <c r="O278" s="295"/>
      <c r="P278" s="295"/>
      <c r="Q278" s="296"/>
      <c r="R278" s="296"/>
      <c r="S278" s="296"/>
      <c r="T278" s="296"/>
      <c r="U278" s="291"/>
      <c r="V278" s="291"/>
    </row>
    <row r="279" spans="1:22">
      <c r="A279" s="127"/>
      <c r="B279" s="293"/>
      <c r="C279" s="294"/>
      <c r="D279" s="295"/>
      <c r="E279" s="293"/>
      <c r="F279" s="293"/>
      <c r="G279" s="293"/>
      <c r="H279" s="293"/>
      <c r="I279" s="295"/>
      <c r="J279" s="295"/>
      <c r="K279" s="295"/>
      <c r="L279" s="295"/>
      <c r="M279" s="295"/>
      <c r="N279" s="295"/>
      <c r="O279" s="295"/>
      <c r="P279" s="295"/>
      <c r="Q279" s="296"/>
      <c r="R279" s="296"/>
      <c r="S279" s="296"/>
      <c r="T279" s="296"/>
      <c r="U279" s="291"/>
      <c r="V279" s="291"/>
    </row>
    <row r="280" spans="1:22">
      <c r="A280" s="127"/>
      <c r="B280" s="293"/>
      <c r="C280" s="294"/>
      <c r="D280" s="295"/>
      <c r="E280" s="293"/>
      <c r="F280" s="293"/>
      <c r="G280" s="293"/>
      <c r="H280" s="293"/>
      <c r="I280" s="295"/>
      <c r="J280" s="295"/>
      <c r="K280" s="295"/>
      <c r="L280" s="295"/>
      <c r="M280" s="295"/>
      <c r="N280" s="295"/>
      <c r="O280" s="295"/>
      <c r="P280" s="295"/>
      <c r="Q280" s="296"/>
      <c r="R280" s="296"/>
      <c r="S280" s="296"/>
      <c r="T280" s="296"/>
      <c r="U280" s="291"/>
      <c r="V280" s="291"/>
    </row>
    <row r="281" spans="1:22">
      <c r="A281" s="127"/>
      <c r="B281" s="293"/>
      <c r="C281" s="294"/>
      <c r="D281" s="295"/>
      <c r="E281" s="293"/>
      <c r="F281" s="293"/>
      <c r="G281" s="293"/>
      <c r="H281" s="293"/>
      <c r="I281" s="295"/>
      <c r="J281" s="295"/>
      <c r="K281" s="295"/>
      <c r="L281" s="295"/>
      <c r="M281" s="295"/>
      <c r="N281" s="295"/>
      <c r="O281" s="295"/>
      <c r="P281" s="295"/>
      <c r="Q281" s="296"/>
      <c r="R281" s="296"/>
      <c r="S281" s="296"/>
      <c r="T281" s="296"/>
      <c r="U281" s="291"/>
      <c r="V281" s="291"/>
    </row>
    <row r="282" spans="1:22">
      <c r="A282" s="127"/>
      <c r="B282" s="293"/>
      <c r="C282" s="294"/>
      <c r="D282" s="295"/>
      <c r="E282" s="293"/>
      <c r="F282" s="293"/>
      <c r="G282" s="293"/>
      <c r="H282" s="293"/>
      <c r="I282" s="295"/>
      <c r="J282" s="295"/>
      <c r="K282" s="295"/>
      <c r="L282" s="295"/>
      <c r="M282" s="295"/>
      <c r="N282" s="295"/>
      <c r="O282" s="295"/>
      <c r="P282" s="295"/>
      <c r="Q282" s="296"/>
      <c r="R282" s="296"/>
      <c r="S282" s="296"/>
      <c r="T282" s="296"/>
      <c r="U282" s="291"/>
      <c r="V282" s="291"/>
    </row>
    <row r="283" spans="1:22">
      <c r="A283" s="127"/>
      <c r="B283" s="293"/>
      <c r="C283" s="294"/>
      <c r="D283" s="295"/>
      <c r="E283" s="293"/>
      <c r="F283" s="293"/>
      <c r="G283" s="293"/>
      <c r="H283" s="293"/>
      <c r="I283" s="295"/>
      <c r="J283" s="295"/>
      <c r="K283" s="295"/>
      <c r="L283" s="295"/>
      <c r="M283" s="295"/>
      <c r="N283" s="295"/>
      <c r="O283" s="295"/>
      <c r="P283" s="295"/>
      <c r="Q283" s="296"/>
      <c r="R283" s="296"/>
      <c r="S283" s="296"/>
      <c r="T283" s="296"/>
      <c r="U283" s="291"/>
      <c r="V283" s="291"/>
    </row>
    <row r="284" spans="1:22">
      <c r="A284" s="127"/>
      <c r="B284" s="293"/>
      <c r="C284" s="294"/>
      <c r="D284" s="295"/>
      <c r="E284" s="293"/>
      <c r="F284" s="293"/>
      <c r="G284" s="293"/>
      <c r="H284" s="293"/>
      <c r="I284" s="295"/>
      <c r="J284" s="295"/>
      <c r="K284" s="295"/>
      <c r="L284" s="295"/>
      <c r="M284" s="295"/>
      <c r="N284" s="295"/>
      <c r="O284" s="295"/>
      <c r="P284" s="295"/>
      <c r="Q284" s="296"/>
      <c r="R284" s="296"/>
      <c r="S284" s="296"/>
      <c r="T284" s="296"/>
      <c r="U284" s="291"/>
      <c r="V284" s="291"/>
    </row>
    <row r="285" spans="1:22">
      <c r="A285" s="127"/>
      <c r="B285" s="293"/>
      <c r="C285" s="294"/>
      <c r="D285" s="295"/>
      <c r="E285" s="293"/>
      <c r="F285" s="293"/>
      <c r="G285" s="293"/>
      <c r="H285" s="293"/>
      <c r="I285" s="295"/>
      <c r="J285" s="295"/>
      <c r="K285" s="295"/>
      <c r="L285" s="295"/>
      <c r="M285" s="295"/>
      <c r="N285" s="295"/>
      <c r="O285" s="295"/>
      <c r="P285" s="295"/>
      <c r="Q285" s="296"/>
      <c r="R285" s="296"/>
      <c r="S285" s="296"/>
      <c r="T285" s="296"/>
      <c r="U285" s="291"/>
      <c r="V285" s="291"/>
    </row>
    <row r="286" spans="1:22">
      <c r="A286" s="127"/>
      <c r="B286" s="293"/>
      <c r="C286" s="294"/>
      <c r="D286" s="295"/>
      <c r="E286" s="293"/>
      <c r="F286" s="293"/>
      <c r="G286" s="293"/>
      <c r="H286" s="293"/>
      <c r="I286" s="295"/>
      <c r="J286" s="295"/>
      <c r="K286" s="295"/>
      <c r="L286" s="295"/>
      <c r="M286" s="295"/>
      <c r="N286" s="295"/>
      <c r="O286" s="295"/>
      <c r="P286" s="295"/>
      <c r="Q286" s="296"/>
      <c r="R286" s="296"/>
      <c r="S286" s="296"/>
      <c r="T286" s="296"/>
      <c r="U286" s="291"/>
      <c r="V286" s="291"/>
    </row>
    <row r="287" spans="1:22">
      <c r="A287" s="127"/>
      <c r="B287" s="293"/>
      <c r="C287" s="294"/>
      <c r="D287" s="295"/>
      <c r="E287" s="293"/>
      <c r="F287" s="293"/>
      <c r="G287" s="293"/>
      <c r="H287" s="293"/>
      <c r="I287" s="295"/>
      <c r="J287" s="295"/>
      <c r="K287" s="295"/>
      <c r="L287" s="295"/>
      <c r="M287" s="295"/>
      <c r="N287" s="295"/>
      <c r="O287" s="295"/>
      <c r="P287" s="295"/>
      <c r="Q287" s="296"/>
      <c r="R287" s="296"/>
      <c r="S287" s="296"/>
      <c r="T287" s="296"/>
      <c r="U287" s="291"/>
      <c r="V287" s="291"/>
    </row>
    <row r="288" spans="1:22">
      <c r="A288" s="127"/>
      <c r="B288" s="293"/>
      <c r="C288" s="294"/>
      <c r="D288" s="295"/>
      <c r="E288" s="293"/>
      <c r="F288" s="293"/>
      <c r="G288" s="293"/>
      <c r="H288" s="293"/>
      <c r="I288" s="295"/>
      <c r="J288" s="295"/>
      <c r="K288" s="295"/>
      <c r="L288" s="295"/>
      <c r="M288" s="295"/>
      <c r="N288" s="295"/>
      <c r="O288" s="295"/>
      <c r="P288" s="295"/>
      <c r="Q288" s="296"/>
      <c r="R288" s="296"/>
      <c r="S288" s="296"/>
      <c r="T288" s="296"/>
      <c r="U288" s="291"/>
      <c r="V288" s="291"/>
    </row>
    <row r="289" spans="1:22">
      <c r="A289" s="127"/>
      <c r="B289" s="293"/>
      <c r="C289" s="294"/>
      <c r="D289" s="295"/>
      <c r="E289" s="293"/>
      <c r="F289" s="293"/>
      <c r="G289" s="293"/>
      <c r="H289" s="293"/>
      <c r="I289" s="295"/>
      <c r="J289" s="295"/>
      <c r="K289" s="295"/>
      <c r="L289" s="295"/>
      <c r="M289" s="295"/>
      <c r="N289" s="295"/>
      <c r="O289" s="295"/>
      <c r="P289" s="295"/>
      <c r="Q289" s="296"/>
      <c r="R289" s="296"/>
      <c r="S289" s="296"/>
      <c r="T289" s="296"/>
      <c r="U289" s="291"/>
      <c r="V289" s="291"/>
    </row>
    <row r="290" spans="1:22">
      <c r="A290" s="127"/>
      <c r="B290" s="293"/>
      <c r="C290" s="294"/>
      <c r="D290" s="295"/>
      <c r="E290" s="293"/>
      <c r="F290" s="293"/>
      <c r="G290" s="293"/>
      <c r="H290" s="293"/>
      <c r="I290" s="295"/>
      <c r="J290" s="295"/>
      <c r="K290" s="295"/>
      <c r="L290" s="295"/>
      <c r="M290" s="295"/>
      <c r="N290" s="295"/>
      <c r="O290" s="295"/>
      <c r="P290" s="295"/>
      <c r="Q290" s="296"/>
      <c r="R290" s="296"/>
      <c r="S290" s="296"/>
      <c r="T290" s="296"/>
      <c r="U290" s="291"/>
      <c r="V290" s="291"/>
    </row>
    <row r="291" spans="1:22">
      <c r="A291" s="127"/>
      <c r="B291" s="293"/>
      <c r="C291" s="294"/>
      <c r="D291" s="295"/>
      <c r="E291" s="293"/>
      <c r="F291" s="293"/>
      <c r="G291" s="293"/>
      <c r="H291" s="293"/>
      <c r="I291" s="295"/>
      <c r="J291" s="295"/>
      <c r="K291" s="295"/>
      <c r="L291" s="295"/>
      <c r="M291" s="295"/>
      <c r="N291" s="295"/>
      <c r="O291" s="295"/>
      <c r="P291" s="295"/>
      <c r="Q291" s="296"/>
      <c r="R291" s="296"/>
      <c r="S291" s="296"/>
      <c r="T291" s="296"/>
      <c r="U291" s="291"/>
      <c r="V291" s="291"/>
    </row>
    <row r="292" spans="1:22">
      <c r="A292" s="127"/>
      <c r="B292" s="293"/>
      <c r="C292" s="294"/>
      <c r="D292" s="295"/>
      <c r="E292" s="293"/>
      <c r="F292" s="293"/>
      <c r="G292" s="293"/>
      <c r="H292" s="293"/>
      <c r="I292" s="295"/>
      <c r="J292" s="295"/>
      <c r="K292" s="295"/>
      <c r="L292" s="295"/>
      <c r="M292" s="295"/>
      <c r="N292" s="295"/>
      <c r="O292" s="295"/>
      <c r="P292" s="295"/>
      <c r="Q292" s="296"/>
      <c r="R292" s="296"/>
      <c r="S292" s="296"/>
      <c r="T292" s="296"/>
      <c r="U292" s="291"/>
      <c r="V292" s="291"/>
    </row>
    <row r="293" spans="1:22">
      <c r="A293" s="127"/>
      <c r="B293" s="293"/>
      <c r="C293" s="294"/>
      <c r="D293" s="295"/>
      <c r="E293" s="293"/>
      <c r="F293" s="293"/>
      <c r="G293" s="293"/>
      <c r="H293" s="293"/>
      <c r="I293" s="295"/>
      <c r="J293" s="295"/>
      <c r="K293" s="295"/>
      <c r="L293" s="295"/>
      <c r="M293" s="295"/>
      <c r="N293" s="295"/>
      <c r="O293" s="295"/>
      <c r="P293" s="295"/>
      <c r="Q293" s="296"/>
      <c r="R293" s="296"/>
      <c r="S293" s="296"/>
      <c r="T293" s="296"/>
      <c r="U293" s="291"/>
      <c r="V293" s="291"/>
    </row>
    <row r="294" spans="1:22">
      <c r="A294" s="127"/>
      <c r="B294" s="293"/>
      <c r="C294" s="294"/>
      <c r="D294" s="295"/>
      <c r="E294" s="293"/>
      <c r="F294" s="293"/>
      <c r="G294" s="293"/>
      <c r="H294" s="293"/>
      <c r="I294" s="295"/>
      <c r="J294" s="295"/>
      <c r="K294" s="295"/>
      <c r="L294" s="295"/>
      <c r="M294" s="295"/>
      <c r="N294" s="295"/>
      <c r="O294" s="295"/>
      <c r="P294" s="295"/>
      <c r="Q294" s="296"/>
      <c r="R294" s="296"/>
      <c r="S294" s="296"/>
      <c r="T294" s="296"/>
      <c r="U294" s="291"/>
      <c r="V294" s="291"/>
    </row>
    <row r="295" spans="1:22">
      <c r="A295" s="127"/>
      <c r="B295" s="293"/>
      <c r="C295" s="294"/>
      <c r="D295" s="295"/>
      <c r="E295" s="293"/>
      <c r="F295" s="293"/>
      <c r="G295" s="293"/>
      <c r="H295" s="293"/>
      <c r="I295" s="295"/>
      <c r="J295" s="295"/>
      <c r="K295" s="295"/>
      <c r="L295" s="295"/>
      <c r="M295" s="295"/>
      <c r="N295" s="295"/>
      <c r="O295" s="295"/>
      <c r="P295" s="295"/>
      <c r="Q295" s="296"/>
      <c r="R295" s="296"/>
      <c r="S295" s="296"/>
      <c r="T295" s="296"/>
      <c r="U295" s="291"/>
      <c r="V295" s="291"/>
    </row>
    <row r="296" spans="1:22">
      <c r="A296" s="127"/>
      <c r="B296" s="293"/>
      <c r="C296" s="294"/>
      <c r="D296" s="295"/>
      <c r="E296" s="293"/>
      <c r="F296" s="293"/>
      <c r="G296" s="293"/>
      <c r="H296" s="293"/>
      <c r="I296" s="295"/>
      <c r="J296" s="295"/>
      <c r="K296" s="295"/>
      <c r="L296" s="295"/>
      <c r="M296" s="295"/>
      <c r="N296" s="295"/>
      <c r="O296" s="295"/>
      <c r="P296" s="295"/>
      <c r="Q296" s="296"/>
      <c r="R296" s="296"/>
      <c r="S296" s="296"/>
      <c r="T296" s="296"/>
      <c r="U296" s="291"/>
      <c r="V296" s="291"/>
    </row>
    <row r="297" spans="1:22">
      <c r="A297" s="127"/>
      <c r="B297" s="293"/>
      <c r="C297" s="294"/>
      <c r="D297" s="295"/>
      <c r="E297" s="293"/>
      <c r="F297" s="293"/>
      <c r="G297" s="293"/>
      <c r="H297" s="293"/>
      <c r="I297" s="295"/>
      <c r="J297" s="295"/>
      <c r="K297" s="295"/>
      <c r="L297" s="295"/>
      <c r="M297" s="295"/>
      <c r="N297" s="295"/>
      <c r="O297" s="295"/>
      <c r="P297" s="295"/>
      <c r="Q297" s="296"/>
      <c r="R297" s="296"/>
      <c r="S297" s="296"/>
      <c r="T297" s="296"/>
      <c r="U297" s="291"/>
      <c r="V297" s="291"/>
    </row>
    <row r="298" spans="1:22">
      <c r="A298" s="127"/>
      <c r="B298" s="293"/>
      <c r="C298" s="294"/>
      <c r="D298" s="295"/>
      <c r="E298" s="293"/>
      <c r="F298" s="293"/>
      <c r="G298" s="293"/>
      <c r="H298" s="293"/>
      <c r="I298" s="295"/>
      <c r="J298" s="295"/>
      <c r="K298" s="295"/>
      <c r="L298" s="295"/>
      <c r="M298" s="295"/>
      <c r="N298" s="295"/>
      <c r="O298" s="295"/>
      <c r="P298" s="295"/>
      <c r="Q298" s="296"/>
      <c r="R298" s="296"/>
      <c r="S298" s="296"/>
      <c r="T298" s="296"/>
      <c r="U298" s="291"/>
      <c r="V298" s="291"/>
    </row>
    <row r="299" spans="1:22">
      <c r="A299" s="127"/>
      <c r="B299" s="293"/>
      <c r="C299" s="294"/>
      <c r="D299" s="295"/>
      <c r="E299" s="293"/>
      <c r="F299" s="293"/>
      <c r="G299" s="293"/>
      <c r="H299" s="293"/>
      <c r="I299" s="295"/>
      <c r="J299" s="295"/>
      <c r="K299" s="295"/>
      <c r="L299" s="295"/>
      <c r="M299" s="295"/>
      <c r="N299" s="295"/>
      <c r="O299" s="295"/>
      <c r="P299" s="295"/>
      <c r="Q299" s="296"/>
      <c r="R299" s="296"/>
      <c r="S299" s="296"/>
      <c r="T299" s="296"/>
      <c r="U299" s="291"/>
      <c r="V299" s="291"/>
    </row>
    <row r="300" spans="1:22">
      <c r="A300" s="127"/>
      <c r="B300" s="293"/>
      <c r="C300" s="294"/>
      <c r="D300" s="295"/>
      <c r="E300" s="293"/>
      <c r="F300" s="293"/>
      <c r="G300" s="293"/>
      <c r="H300" s="293"/>
      <c r="I300" s="295"/>
      <c r="J300" s="295"/>
      <c r="K300" s="295"/>
      <c r="L300" s="295"/>
      <c r="M300" s="295"/>
      <c r="N300" s="295"/>
      <c r="O300" s="295"/>
      <c r="P300" s="295"/>
      <c r="Q300" s="296"/>
      <c r="R300" s="296"/>
      <c r="S300" s="296"/>
      <c r="T300" s="296"/>
      <c r="U300" s="291"/>
      <c r="V300" s="291"/>
    </row>
    <row r="301" spans="1:22">
      <c r="A301" s="127"/>
      <c r="B301" s="293"/>
      <c r="C301" s="294"/>
      <c r="D301" s="295"/>
      <c r="E301" s="293"/>
      <c r="F301" s="293"/>
      <c r="G301" s="293"/>
      <c r="H301" s="293"/>
      <c r="I301" s="295"/>
      <c r="J301" s="295"/>
      <c r="K301" s="295"/>
      <c r="L301" s="295"/>
      <c r="M301" s="295"/>
      <c r="N301" s="295"/>
      <c r="O301" s="295"/>
      <c r="P301" s="295"/>
      <c r="Q301" s="296"/>
      <c r="R301" s="296"/>
      <c r="S301" s="296"/>
      <c r="T301" s="296"/>
      <c r="U301" s="291"/>
      <c r="V301" s="291"/>
    </row>
    <row r="302" spans="1:22">
      <c r="A302" s="127"/>
      <c r="B302" s="293"/>
      <c r="C302" s="294"/>
      <c r="D302" s="295"/>
      <c r="E302" s="293"/>
      <c r="F302" s="293"/>
      <c r="G302" s="293"/>
      <c r="H302" s="293"/>
      <c r="I302" s="295"/>
      <c r="J302" s="295"/>
      <c r="K302" s="295"/>
      <c r="L302" s="295"/>
      <c r="M302" s="295"/>
      <c r="N302" s="295"/>
      <c r="O302" s="295"/>
      <c r="P302" s="295"/>
      <c r="Q302" s="296"/>
      <c r="R302" s="296"/>
      <c r="S302" s="296"/>
      <c r="T302" s="296"/>
      <c r="U302" s="291"/>
      <c r="V302" s="291"/>
    </row>
    <row r="303" spans="1:22">
      <c r="A303" s="127"/>
      <c r="B303" s="293"/>
      <c r="C303" s="294"/>
      <c r="D303" s="295"/>
      <c r="E303" s="293"/>
      <c r="F303" s="293"/>
      <c r="G303" s="293"/>
      <c r="H303" s="293"/>
      <c r="I303" s="295"/>
      <c r="J303" s="295"/>
      <c r="K303" s="295"/>
      <c r="L303" s="295"/>
      <c r="M303" s="295"/>
      <c r="N303" s="295"/>
      <c r="O303" s="295"/>
      <c r="P303" s="295"/>
      <c r="Q303" s="296"/>
      <c r="R303" s="296"/>
      <c r="S303" s="296"/>
      <c r="T303" s="296"/>
      <c r="U303" s="291"/>
      <c r="V303" s="291"/>
    </row>
    <row r="304" spans="1:22">
      <c r="A304" s="127"/>
      <c r="B304" s="293"/>
      <c r="C304" s="294"/>
      <c r="D304" s="295"/>
      <c r="E304" s="293"/>
      <c r="F304" s="293"/>
      <c r="G304" s="293"/>
      <c r="H304" s="293"/>
      <c r="I304" s="295"/>
      <c r="J304" s="295"/>
      <c r="K304" s="295"/>
      <c r="L304" s="295"/>
      <c r="M304" s="295"/>
      <c r="N304" s="295"/>
      <c r="O304" s="295"/>
      <c r="P304" s="295"/>
      <c r="Q304" s="296"/>
      <c r="R304" s="296"/>
      <c r="S304" s="296"/>
      <c r="T304" s="296"/>
      <c r="U304" s="291"/>
      <c r="V304" s="291"/>
    </row>
    <row r="305" spans="1:22">
      <c r="A305" s="127"/>
      <c r="B305" s="293"/>
      <c r="C305" s="294"/>
      <c r="D305" s="295"/>
      <c r="E305" s="293"/>
      <c r="F305" s="293"/>
      <c r="G305" s="293"/>
      <c r="H305" s="293"/>
      <c r="I305" s="295"/>
      <c r="J305" s="295"/>
      <c r="K305" s="295"/>
      <c r="L305" s="295"/>
      <c r="M305" s="295"/>
      <c r="N305" s="295"/>
      <c r="O305" s="295"/>
      <c r="P305" s="295"/>
      <c r="Q305" s="296"/>
      <c r="R305" s="296"/>
      <c r="S305" s="296"/>
      <c r="T305" s="296"/>
      <c r="U305" s="291"/>
      <c r="V305" s="291"/>
    </row>
    <row r="306" spans="1:22">
      <c r="A306" s="127"/>
      <c r="B306" s="293"/>
      <c r="C306" s="294"/>
      <c r="D306" s="295"/>
      <c r="E306" s="293"/>
      <c r="F306" s="293"/>
      <c r="G306" s="293"/>
      <c r="H306" s="293"/>
      <c r="I306" s="295"/>
      <c r="J306" s="295"/>
      <c r="K306" s="295"/>
      <c r="L306" s="295"/>
      <c r="M306" s="295"/>
      <c r="N306" s="295"/>
      <c r="O306" s="295"/>
      <c r="P306" s="295"/>
      <c r="Q306" s="296"/>
      <c r="R306" s="296"/>
      <c r="S306" s="296"/>
      <c r="T306" s="296"/>
      <c r="U306" s="291"/>
      <c r="V306" s="291"/>
    </row>
    <row r="307" spans="1:22">
      <c r="A307" s="127"/>
      <c r="B307" s="293"/>
      <c r="C307" s="294"/>
      <c r="D307" s="295"/>
      <c r="E307" s="293"/>
      <c r="F307" s="293"/>
      <c r="G307" s="293"/>
      <c r="H307" s="293"/>
      <c r="I307" s="295"/>
      <c r="J307" s="295"/>
      <c r="K307" s="295"/>
      <c r="L307" s="295"/>
      <c r="M307" s="295"/>
      <c r="N307" s="295"/>
      <c r="O307" s="295"/>
      <c r="P307" s="295"/>
      <c r="Q307" s="296"/>
      <c r="R307" s="296"/>
      <c r="S307" s="296"/>
      <c r="T307" s="296"/>
      <c r="U307" s="291"/>
      <c r="V307" s="291"/>
    </row>
    <row r="308" spans="1:22">
      <c r="A308" s="127"/>
      <c r="B308" s="293"/>
      <c r="C308" s="294"/>
      <c r="D308" s="295"/>
      <c r="E308" s="293"/>
      <c r="F308" s="293"/>
      <c r="G308" s="293"/>
      <c r="H308" s="293"/>
      <c r="I308" s="295"/>
      <c r="J308" s="295"/>
      <c r="K308" s="295"/>
      <c r="L308" s="295"/>
      <c r="M308" s="295"/>
      <c r="N308" s="295"/>
      <c r="O308" s="295"/>
      <c r="P308" s="295"/>
      <c r="Q308" s="296"/>
      <c r="R308" s="296"/>
      <c r="S308" s="296"/>
      <c r="T308" s="296"/>
      <c r="U308" s="291"/>
      <c r="V308" s="291"/>
    </row>
    <row r="309" spans="1:22">
      <c r="A309" s="127"/>
      <c r="B309" s="293"/>
      <c r="C309" s="294"/>
      <c r="D309" s="295"/>
      <c r="E309" s="293"/>
      <c r="F309" s="293"/>
      <c r="G309" s="293"/>
      <c r="H309" s="293"/>
      <c r="I309" s="295"/>
      <c r="J309" s="295"/>
      <c r="K309" s="295"/>
      <c r="L309" s="295"/>
      <c r="M309" s="295"/>
      <c r="N309" s="295"/>
      <c r="O309" s="295"/>
      <c r="P309" s="295"/>
      <c r="Q309" s="296"/>
      <c r="R309" s="296"/>
      <c r="S309" s="296"/>
      <c r="T309" s="296"/>
      <c r="U309" s="291"/>
      <c r="V309" s="291"/>
    </row>
    <row r="310" spans="1:22">
      <c r="A310" s="127"/>
      <c r="B310" s="293"/>
      <c r="C310" s="294"/>
      <c r="D310" s="295"/>
      <c r="E310" s="293"/>
      <c r="F310" s="293"/>
      <c r="G310" s="293"/>
      <c r="H310" s="293"/>
      <c r="I310" s="295"/>
      <c r="J310" s="295"/>
      <c r="K310" s="295"/>
      <c r="L310" s="295"/>
      <c r="M310" s="295"/>
      <c r="N310" s="295"/>
      <c r="O310" s="295"/>
      <c r="P310" s="295"/>
      <c r="Q310" s="296"/>
      <c r="R310" s="296"/>
      <c r="S310" s="296"/>
      <c r="T310" s="296"/>
      <c r="U310" s="291"/>
      <c r="V310" s="291"/>
    </row>
    <row r="311" spans="1:22">
      <c r="A311" s="127"/>
      <c r="B311" s="293"/>
      <c r="C311" s="294"/>
      <c r="D311" s="295"/>
      <c r="E311" s="293"/>
      <c r="F311" s="293"/>
      <c r="G311" s="293"/>
      <c r="H311" s="293"/>
      <c r="I311" s="295"/>
      <c r="J311" s="295"/>
      <c r="K311" s="295"/>
      <c r="L311" s="295"/>
      <c r="M311" s="295"/>
      <c r="N311" s="295"/>
      <c r="O311" s="295"/>
      <c r="P311" s="295"/>
      <c r="Q311" s="296"/>
      <c r="R311" s="296"/>
      <c r="S311" s="296"/>
      <c r="T311" s="296"/>
      <c r="U311" s="291"/>
      <c r="V311" s="291"/>
    </row>
    <row r="312" spans="1:22">
      <c r="A312" s="127"/>
      <c r="B312" s="293"/>
      <c r="C312" s="294"/>
      <c r="D312" s="295"/>
      <c r="E312" s="293"/>
      <c r="F312" s="293"/>
      <c r="G312" s="293"/>
      <c r="H312" s="293"/>
      <c r="I312" s="295"/>
      <c r="J312" s="295"/>
      <c r="K312" s="295"/>
      <c r="L312" s="295"/>
      <c r="M312" s="295"/>
      <c r="N312" s="295"/>
      <c r="O312" s="295"/>
      <c r="P312" s="295"/>
      <c r="Q312" s="296"/>
      <c r="R312" s="296"/>
      <c r="S312" s="296"/>
      <c r="T312" s="296"/>
      <c r="U312" s="291"/>
      <c r="V312" s="291"/>
    </row>
    <row r="313" spans="1:22">
      <c r="A313" s="127"/>
      <c r="B313" s="293"/>
      <c r="C313" s="294"/>
      <c r="D313" s="295"/>
      <c r="E313" s="293"/>
      <c r="F313" s="293"/>
      <c r="G313" s="293"/>
      <c r="H313" s="293"/>
      <c r="I313" s="295"/>
      <c r="J313" s="295"/>
      <c r="K313" s="295"/>
      <c r="L313" s="295"/>
      <c r="M313" s="295"/>
      <c r="N313" s="295"/>
      <c r="O313" s="295"/>
      <c r="P313" s="295"/>
      <c r="Q313" s="296"/>
      <c r="R313" s="296"/>
      <c r="S313" s="296"/>
      <c r="T313" s="296"/>
      <c r="U313" s="291"/>
      <c r="V313" s="291"/>
    </row>
    <row r="314" spans="1:22">
      <c r="A314" s="127"/>
      <c r="B314" s="293"/>
      <c r="C314" s="294"/>
      <c r="D314" s="295"/>
      <c r="E314" s="293"/>
      <c r="F314" s="293"/>
      <c r="G314" s="293"/>
      <c r="H314" s="293"/>
      <c r="I314" s="295"/>
      <c r="J314" s="295"/>
      <c r="K314" s="295"/>
      <c r="L314" s="295"/>
      <c r="M314" s="295"/>
      <c r="N314" s="295"/>
      <c r="O314" s="295"/>
      <c r="P314" s="295"/>
      <c r="Q314" s="296"/>
      <c r="R314" s="296"/>
      <c r="S314" s="296"/>
      <c r="T314" s="296"/>
      <c r="U314" s="291"/>
      <c r="V314" s="291"/>
    </row>
    <row r="315" spans="1:22">
      <c r="A315" s="127"/>
      <c r="B315" s="293"/>
      <c r="C315" s="294"/>
      <c r="D315" s="295"/>
      <c r="E315" s="293"/>
      <c r="F315" s="293"/>
      <c r="G315" s="293"/>
      <c r="H315" s="293"/>
      <c r="I315" s="295"/>
      <c r="J315" s="295"/>
      <c r="K315" s="295"/>
      <c r="L315" s="295"/>
      <c r="M315" s="295"/>
      <c r="N315" s="295"/>
      <c r="O315" s="295"/>
      <c r="P315" s="295"/>
      <c r="Q315" s="296"/>
      <c r="R315" s="296"/>
      <c r="S315" s="296"/>
      <c r="T315" s="296"/>
      <c r="U315" s="291"/>
      <c r="V315" s="291"/>
    </row>
    <row r="316" spans="1:22">
      <c r="A316" s="127"/>
      <c r="B316" s="293"/>
      <c r="C316" s="294"/>
      <c r="D316" s="295"/>
      <c r="E316" s="293"/>
      <c r="F316" s="293"/>
      <c r="G316" s="293"/>
      <c r="H316" s="293"/>
      <c r="I316" s="295"/>
      <c r="J316" s="295"/>
      <c r="K316" s="295"/>
      <c r="L316" s="295"/>
      <c r="M316" s="295"/>
      <c r="N316" s="295"/>
      <c r="O316" s="295"/>
      <c r="P316" s="295"/>
      <c r="Q316" s="296"/>
      <c r="R316" s="296"/>
      <c r="S316" s="296"/>
      <c r="T316" s="296"/>
      <c r="U316" s="291"/>
      <c r="V316" s="291"/>
    </row>
    <row r="317" spans="1:22">
      <c r="A317" s="127"/>
      <c r="B317" s="293"/>
      <c r="C317" s="294"/>
      <c r="D317" s="295"/>
      <c r="E317" s="293"/>
      <c r="F317" s="293"/>
      <c r="G317" s="293"/>
      <c r="H317" s="293"/>
      <c r="I317" s="295"/>
      <c r="J317" s="295"/>
      <c r="K317" s="295"/>
      <c r="L317" s="295"/>
      <c r="M317" s="295"/>
      <c r="N317" s="295"/>
      <c r="O317" s="295"/>
      <c r="P317" s="295"/>
      <c r="Q317" s="296"/>
      <c r="R317" s="296"/>
      <c r="S317" s="296"/>
      <c r="T317" s="296"/>
      <c r="U317" s="291"/>
      <c r="V317" s="291"/>
    </row>
    <row r="318" spans="1:22">
      <c r="A318" s="127"/>
      <c r="B318" s="293"/>
      <c r="C318" s="294"/>
      <c r="D318" s="295"/>
      <c r="E318" s="293"/>
      <c r="F318" s="293"/>
      <c r="G318" s="293"/>
      <c r="H318" s="293"/>
      <c r="I318" s="295"/>
      <c r="J318" s="295"/>
      <c r="K318" s="295"/>
      <c r="L318" s="295"/>
      <c r="M318" s="295"/>
      <c r="N318" s="295"/>
      <c r="O318" s="295"/>
      <c r="P318" s="295"/>
      <c r="Q318" s="296"/>
      <c r="R318" s="296"/>
      <c r="S318" s="296"/>
      <c r="T318" s="296"/>
      <c r="U318" s="291"/>
      <c r="V318" s="291"/>
    </row>
    <row r="319" spans="1:22">
      <c r="A319" s="127"/>
      <c r="B319" s="293"/>
      <c r="C319" s="294"/>
      <c r="D319" s="295"/>
      <c r="E319" s="293"/>
      <c r="F319" s="293"/>
      <c r="G319" s="293"/>
      <c r="H319" s="293"/>
      <c r="I319" s="295"/>
      <c r="J319" s="295"/>
      <c r="K319" s="295"/>
      <c r="L319" s="295"/>
      <c r="M319" s="295"/>
      <c r="N319" s="295"/>
      <c r="O319" s="295"/>
      <c r="P319" s="295"/>
      <c r="Q319" s="296"/>
      <c r="R319" s="296"/>
      <c r="S319" s="296"/>
      <c r="T319" s="296"/>
      <c r="U319" s="291"/>
      <c r="V319" s="291"/>
    </row>
    <row r="320" spans="1:22">
      <c r="A320" s="127"/>
      <c r="B320" s="293"/>
      <c r="C320" s="294"/>
      <c r="D320" s="295"/>
      <c r="E320" s="293"/>
      <c r="F320" s="293"/>
      <c r="G320" s="293"/>
      <c r="H320" s="293"/>
      <c r="I320" s="295"/>
      <c r="J320" s="295"/>
      <c r="K320" s="295"/>
      <c r="L320" s="295"/>
      <c r="M320" s="295"/>
      <c r="N320" s="295"/>
      <c r="O320" s="295"/>
      <c r="P320" s="295"/>
      <c r="Q320" s="296"/>
      <c r="R320" s="296"/>
      <c r="S320" s="296"/>
      <c r="T320" s="296"/>
      <c r="U320" s="291"/>
      <c r="V320" s="291"/>
    </row>
    <row r="321" spans="1:22">
      <c r="A321" s="127"/>
      <c r="B321" s="293"/>
      <c r="C321" s="294"/>
      <c r="D321" s="295"/>
      <c r="E321" s="293"/>
      <c r="F321" s="293"/>
      <c r="G321" s="293"/>
      <c r="H321" s="293"/>
      <c r="I321" s="295"/>
      <c r="J321" s="295"/>
      <c r="K321" s="295"/>
      <c r="L321" s="295"/>
      <c r="M321" s="295"/>
      <c r="N321" s="295"/>
      <c r="O321" s="295"/>
      <c r="P321" s="295"/>
      <c r="Q321" s="296"/>
      <c r="R321" s="296"/>
      <c r="S321" s="296"/>
      <c r="T321" s="296"/>
      <c r="U321" s="291"/>
      <c r="V321" s="291"/>
    </row>
    <row r="322" spans="1:22">
      <c r="A322" s="127"/>
      <c r="B322" s="293"/>
      <c r="C322" s="294"/>
      <c r="D322" s="295"/>
      <c r="E322" s="293"/>
      <c r="F322" s="293"/>
      <c r="G322" s="293"/>
      <c r="H322" s="293"/>
      <c r="I322" s="295"/>
      <c r="J322" s="295"/>
      <c r="K322" s="295"/>
      <c r="L322" s="295"/>
      <c r="M322" s="295"/>
      <c r="N322" s="295"/>
      <c r="O322" s="295"/>
      <c r="P322" s="295"/>
      <c r="Q322" s="296"/>
      <c r="R322" s="296"/>
      <c r="S322" s="296"/>
      <c r="T322" s="296"/>
      <c r="U322" s="291"/>
      <c r="V322" s="291"/>
    </row>
    <row r="323" spans="1:22">
      <c r="A323" s="127"/>
      <c r="B323" s="293"/>
      <c r="C323" s="294"/>
      <c r="D323" s="295"/>
      <c r="E323" s="293"/>
      <c r="F323" s="293"/>
      <c r="G323" s="293"/>
      <c r="H323" s="293"/>
      <c r="I323" s="295"/>
      <c r="J323" s="295"/>
      <c r="K323" s="295"/>
      <c r="L323" s="295"/>
      <c r="M323" s="295"/>
      <c r="N323" s="295"/>
      <c r="O323" s="295"/>
      <c r="P323" s="295"/>
      <c r="Q323" s="296"/>
      <c r="R323" s="296"/>
      <c r="S323" s="296"/>
      <c r="T323" s="296"/>
      <c r="U323" s="291"/>
      <c r="V323" s="291"/>
    </row>
    <row r="324" spans="1:22">
      <c r="A324" s="127"/>
      <c r="B324" s="293"/>
      <c r="C324" s="294"/>
      <c r="D324" s="295"/>
      <c r="E324" s="293"/>
      <c r="F324" s="293"/>
      <c r="G324" s="293"/>
      <c r="H324" s="293"/>
      <c r="I324" s="295"/>
      <c r="J324" s="295"/>
      <c r="K324" s="295"/>
      <c r="L324" s="295"/>
      <c r="M324" s="295"/>
      <c r="N324" s="295"/>
      <c r="O324" s="295"/>
      <c r="P324" s="295"/>
      <c r="Q324" s="296"/>
      <c r="R324" s="296"/>
      <c r="S324" s="296"/>
      <c r="T324" s="296"/>
      <c r="U324" s="291"/>
      <c r="V324" s="291"/>
    </row>
    <row r="325" spans="1:22">
      <c r="A325" s="127"/>
      <c r="B325" s="293"/>
      <c r="C325" s="294"/>
      <c r="D325" s="295"/>
      <c r="E325" s="293"/>
      <c r="F325" s="293"/>
      <c r="G325" s="293"/>
      <c r="H325" s="293"/>
      <c r="I325" s="295"/>
      <c r="J325" s="295"/>
      <c r="K325" s="295"/>
      <c r="L325" s="295"/>
      <c r="M325" s="295"/>
      <c r="N325" s="295"/>
      <c r="O325" s="295"/>
      <c r="P325" s="295"/>
      <c r="Q325" s="296"/>
      <c r="R325" s="296"/>
      <c r="S325" s="296"/>
      <c r="T325" s="296"/>
      <c r="U325" s="291"/>
      <c r="V325" s="291"/>
    </row>
    <row r="326" spans="1:22">
      <c r="A326" s="127"/>
      <c r="B326" s="293"/>
      <c r="C326" s="294"/>
      <c r="D326" s="295"/>
      <c r="E326" s="293"/>
      <c r="F326" s="293"/>
      <c r="G326" s="293"/>
      <c r="H326" s="293"/>
      <c r="I326" s="295"/>
      <c r="J326" s="295"/>
      <c r="K326" s="295"/>
      <c r="L326" s="295"/>
      <c r="M326" s="295"/>
      <c r="N326" s="295"/>
      <c r="O326" s="295"/>
      <c r="P326" s="295"/>
      <c r="Q326" s="296"/>
      <c r="R326" s="296"/>
      <c r="S326" s="296"/>
      <c r="T326" s="296"/>
      <c r="U326" s="291"/>
      <c r="V326" s="291"/>
    </row>
    <row r="327" spans="1:22">
      <c r="A327" s="127"/>
      <c r="B327" s="293"/>
      <c r="C327" s="294"/>
      <c r="D327" s="295"/>
      <c r="E327" s="293"/>
      <c r="F327" s="293"/>
      <c r="G327" s="293"/>
      <c r="H327" s="293"/>
      <c r="I327" s="295"/>
      <c r="J327" s="295"/>
      <c r="K327" s="295"/>
      <c r="L327" s="295"/>
      <c r="M327" s="295"/>
      <c r="N327" s="295"/>
      <c r="O327" s="295"/>
      <c r="P327" s="295"/>
      <c r="Q327" s="296"/>
      <c r="R327" s="296"/>
      <c r="S327" s="296"/>
      <c r="T327" s="296"/>
      <c r="U327" s="291"/>
      <c r="V327" s="291"/>
    </row>
    <row r="328" spans="1:22">
      <c r="A328" s="127"/>
      <c r="B328" s="293"/>
      <c r="C328" s="294"/>
      <c r="D328" s="295"/>
      <c r="E328" s="293"/>
      <c r="F328" s="293"/>
      <c r="G328" s="293"/>
      <c r="H328" s="293"/>
      <c r="I328" s="295"/>
      <c r="J328" s="295"/>
      <c r="K328" s="295"/>
      <c r="L328" s="295"/>
      <c r="M328" s="295"/>
      <c r="N328" s="295"/>
      <c r="O328" s="295"/>
      <c r="P328" s="295"/>
      <c r="Q328" s="296"/>
      <c r="R328" s="296"/>
      <c r="S328" s="296"/>
      <c r="T328" s="296"/>
      <c r="U328" s="291"/>
      <c r="V328" s="291"/>
    </row>
    <row r="329" spans="1:22">
      <c r="A329" s="127"/>
      <c r="B329" s="293"/>
      <c r="C329" s="294"/>
      <c r="D329" s="295"/>
      <c r="E329" s="293"/>
      <c r="F329" s="293"/>
      <c r="G329" s="293"/>
      <c r="H329" s="293"/>
      <c r="I329" s="295"/>
      <c r="J329" s="295"/>
      <c r="K329" s="295"/>
      <c r="L329" s="295"/>
      <c r="M329" s="295"/>
      <c r="N329" s="295"/>
      <c r="O329" s="295"/>
      <c r="P329" s="295"/>
      <c r="Q329" s="296"/>
      <c r="R329" s="296"/>
      <c r="S329" s="296"/>
      <c r="T329" s="296"/>
      <c r="U329" s="291"/>
      <c r="V329" s="291"/>
    </row>
    <row r="330" spans="1:22">
      <c r="A330" s="127"/>
      <c r="B330" s="293"/>
      <c r="C330" s="294"/>
      <c r="D330" s="295"/>
      <c r="E330" s="293"/>
      <c r="F330" s="293"/>
      <c r="G330" s="293"/>
      <c r="H330" s="293"/>
      <c r="I330" s="295"/>
      <c r="J330" s="295"/>
      <c r="K330" s="295"/>
      <c r="L330" s="295"/>
      <c r="M330" s="295"/>
      <c r="N330" s="295"/>
      <c r="O330" s="295"/>
      <c r="P330" s="295"/>
      <c r="Q330" s="296"/>
      <c r="R330" s="296"/>
      <c r="S330" s="296"/>
      <c r="T330" s="296"/>
      <c r="U330" s="291"/>
      <c r="V330" s="291"/>
    </row>
    <row r="331" spans="1:22">
      <c r="A331" s="127"/>
      <c r="B331" s="293"/>
      <c r="C331" s="294"/>
      <c r="D331" s="295"/>
      <c r="E331" s="293"/>
      <c r="F331" s="293"/>
      <c r="G331" s="293"/>
      <c r="H331" s="293"/>
      <c r="I331" s="295"/>
      <c r="J331" s="295"/>
      <c r="K331" s="295"/>
      <c r="L331" s="295"/>
      <c r="M331" s="295"/>
      <c r="N331" s="295"/>
      <c r="O331" s="295"/>
      <c r="P331" s="295"/>
      <c r="Q331" s="296"/>
      <c r="R331" s="296"/>
      <c r="S331" s="296"/>
      <c r="T331" s="296"/>
      <c r="U331" s="291"/>
      <c r="V331" s="291"/>
    </row>
    <row r="332" spans="1:22">
      <c r="A332" s="127"/>
      <c r="B332" s="293"/>
      <c r="C332" s="294"/>
      <c r="D332" s="295"/>
      <c r="E332" s="293"/>
      <c r="F332" s="293"/>
      <c r="G332" s="293"/>
      <c r="H332" s="293"/>
      <c r="I332" s="295"/>
      <c r="J332" s="295"/>
      <c r="K332" s="295"/>
      <c r="L332" s="295"/>
      <c r="M332" s="295"/>
      <c r="N332" s="295"/>
      <c r="O332" s="295"/>
      <c r="P332" s="295"/>
      <c r="Q332" s="296"/>
      <c r="R332" s="296"/>
      <c r="S332" s="296"/>
      <c r="T332" s="296"/>
      <c r="U332" s="291"/>
      <c r="V332" s="291"/>
    </row>
    <row r="333" spans="1:22">
      <c r="A333" s="127"/>
      <c r="B333" s="293"/>
      <c r="C333" s="294"/>
      <c r="D333" s="295"/>
      <c r="E333" s="293"/>
      <c r="F333" s="293"/>
      <c r="G333" s="293"/>
      <c r="H333" s="293"/>
      <c r="I333" s="295"/>
      <c r="J333" s="295"/>
      <c r="K333" s="295"/>
      <c r="L333" s="295"/>
      <c r="M333" s="295"/>
      <c r="N333" s="295"/>
      <c r="O333" s="295"/>
      <c r="P333" s="295"/>
      <c r="Q333" s="296"/>
      <c r="R333" s="296"/>
      <c r="S333" s="296"/>
      <c r="T333" s="296"/>
      <c r="U333" s="291"/>
      <c r="V333" s="291"/>
    </row>
    <row r="334" spans="1:22">
      <c r="A334" s="127"/>
      <c r="B334" s="293"/>
      <c r="C334" s="294"/>
      <c r="D334" s="295"/>
      <c r="E334" s="293"/>
      <c r="F334" s="293"/>
      <c r="G334" s="293"/>
      <c r="H334" s="293"/>
      <c r="I334" s="295"/>
      <c r="J334" s="295"/>
      <c r="K334" s="295"/>
      <c r="L334" s="295"/>
      <c r="M334" s="295"/>
      <c r="N334" s="295"/>
      <c r="O334" s="295"/>
      <c r="P334" s="295"/>
      <c r="Q334" s="296"/>
      <c r="R334" s="296"/>
      <c r="S334" s="296"/>
      <c r="T334" s="296"/>
      <c r="U334" s="291"/>
      <c r="V334" s="291"/>
    </row>
    <row r="335" spans="1:22">
      <c r="A335" s="127"/>
      <c r="B335" s="293"/>
      <c r="C335" s="294"/>
      <c r="D335" s="295"/>
      <c r="E335" s="293"/>
      <c r="F335" s="293"/>
      <c r="G335" s="293"/>
      <c r="H335" s="293"/>
      <c r="I335" s="295"/>
      <c r="J335" s="295"/>
      <c r="K335" s="295"/>
      <c r="L335" s="295"/>
      <c r="M335" s="295"/>
      <c r="N335" s="295"/>
      <c r="O335" s="295"/>
      <c r="P335" s="295"/>
      <c r="Q335" s="296"/>
      <c r="R335" s="296"/>
      <c r="S335" s="296"/>
      <c r="T335" s="296"/>
      <c r="U335" s="291"/>
      <c r="V335" s="291"/>
    </row>
    <row r="336" spans="1:22">
      <c r="A336" s="127"/>
      <c r="B336" s="293"/>
      <c r="C336" s="294"/>
      <c r="D336" s="295"/>
      <c r="E336" s="293"/>
      <c r="F336" s="293"/>
      <c r="G336" s="293"/>
      <c r="H336" s="293"/>
      <c r="I336" s="295"/>
      <c r="J336" s="295"/>
      <c r="K336" s="295"/>
      <c r="L336" s="295"/>
      <c r="M336" s="295"/>
      <c r="N336" s="295"/>
      <c r="O336" s="295"/>
      <c r="P336" s="295"/>
      <c r="Q336" s="296"/>
      <c r="R336" s="296"/>
      <c r="S336" s="296"/>
      <c r="T336" s="296"/>
      <c r="U336" s="291"/>
      <c r="V336" s="291"/>
    </row>
    <row r="337" spans="1:22">
      <c r="A337" s="127"/>
      <c r="B337" s="293"/>
      <c r="C337" s="294"/>
      <c r="D337" s="295"/>
      <c r="E337" s="293"/>
      <c r="F337" s="293"/>
      <c r="G337" s="293"/>
      <c r="H337" s="293"/>
      <c r="I337" s="295"/>
      <c r="J337" s="295"/>
      <c r="K337" s="295"/>
      <c r="L337" s="295"/>
      <c r="M337" s="295"/>
      <c r="N337" s="295"/>
      <c r="O337" s="295"/>
      <c r="P337" s="295"/>
      <c r="Q337" s="296"/>
      <c r="R337" s="296"/>
      <c r="S337" s="296"/>
      <c r="T337" s="296"/>
      <c r="U337" s="291"/>
      <c r="V337" s="291"/>
    </row>
    <row r="338" spans="1:22">
      <c r="A338" s="127"/>
      <c r="B338" s="293"/>
      <c r="C338" s="294"/>
      <c r="D338" s="295"/>
      <c r="E338" s="293"/>
      <c r="F338" s="293"/>
      <c r="G338" s="293"/>
      <c r="H338" s="293"/>
      <c r="I338" s="295"/>
      <c r="J338" s="295"/>
      <c r="K338" s="295"/>
      <c r="L338" s="295"/>
      <c r="M338" s="295"/>
      <c r="N338" s="295"/>
      <c r="O338" s="295"/>
      <c r="P338" s="295"/>
      <c r="Q338" s="296"/>
      <c r="R338" s="296"/>
      <c r="S338" s="296"/>
      <c r="T338" s="296"/>
      <c r="U338" s="291"/>
      <c r="V338" s="291"/>
    </row>
    <row r="339" spans="1:22">
      <c r="A339" s="127"/>
      <c r="B339" s="293"/>
      <c r="C339" s="294"/>
      <c r="D339" s="295"/>
      <c r="E339" s="293"/>
      <c r="F339" s="293"/>
      <c r="G339" s="293"/>
      <c r="H339" s="293"/>
      <c r="I339" s="295"/>
      <c r="J339" s="295"/>
      <c r="K339" s="295"/>
      <c r="L339" s="295"/>
      <c r="M339" s="295"/>
      <c r="N339" s="295"/>
      <c r="O339" s="295"/>
      <c r="P339" s="295"/>
      <c r="Q339" s="296"/>
      <c r="R339" s="296"/>
      <c r="S339" s="296"/>
      <c r="T339" s="296"/>
      <c r="U339" s="291"/>
      <c r="V339" s="291"/>
    </row>
    <row r="340" spans="1:22">
      <c r="A340" s="127"/>
      <c r="B340" s="293"/>
      <c r="C340" s="294"/>
      <c r="D340" s="295"/>
      <c r="E340" s="293"/>
      <c r="F340" s="293"/>
      <c r="G340" s="293"/>
      <c r="H340" s="293"/>
      <c r="I340" s="295"/>
      <c r="J340" s="295"/>
      <c r="K340" s="295"/>
      <c r="L340" s="295"/>
      <c r="M340" s="295"/>
      <c r="N340" s="295"/>
      <c r="O340" s="295"/>
      <c r="P340" s="295"/>
      <c r="Q340" s="296"/>
      <c r="R340" s="296"/>
      <c r="S340" s="296"/>
      <c r="T340" s="296"/>
      <c r="U340" s="291"/>
      <c r="V340" s="291"/>
    </row>
    <row r="341" spans="1:22">
      <c r="A341" s="127"/>
      <c r="B341" s="293"/>
      <c r="C341" s="294"/>
      <c r="D341" s="295"/>
      <c r="E341" s="293"/>
      <c r="F341" s="293"/>
      <c r="G341" s="293"/>
      <c r="H341" s="293"/>
      <c r="I341" s="295"/>
      <c r="J341" s="295"/>
      <c r="K341" s="295"/>
      <c r="L341" s="295"/>
      <c r="M341" s="295"/>
      <c r="N341" s="295"/>
      <c r="O341" s="295"/>
      <c r="P341" s="295"/>
      <c r="Q341" s="296"/>
      <c r="R341" s="296"/>
      <c r="S341" s="296"/>
      <c r="T341" s="296"/>
      <c r="U341" s="291"/>
      <c r="V341" s="291"/>
    </row>
    <row r="342" spans="1:22">
      <c r="A342" s="127"/>
      <c r="B342" s="293"/>
      <c r="C342" s="294"/>
      <c r="D342" s="295"/>
      <c r="E342" s="293"/>
      <c r="F342" s="293"/>
      <c r="G342" s="293"/>
      <c r="H342" s="293"/>
      <c r="I342" s="295"/>
      <c r="J342" s="295"/>
      <c r="K342" s="295"/>
      <c r="L342" s="295"/>
      <c r="M342" s="295"/>
      <c r="N342" s="295"/>
      <c r="O342" s="295"/>
      <c r="P342" s="295"/>
      <c r="Q342" s="296"/>
      <c r="R342" s="296"/>
      <c r="S342" s="296"/>
      <c r="T342" s="296"/>
      <c r="U342" s="291"/>
      <c r="V342" s="291"/>
    </row>
    <row r="343" spans="1:22">
      <c r="A343" s="127"/>
      <c r="B343" s="293"/>
      <c r="C343" s="294"/>
      <c r="D343" s="295"/>
      <c r="E343" s="293"/>
      <c r="F343" s="293"/>
      <c r="G343" s="293"/>
      <c r="H343" s="293"/>
      <c r="I343" s="295"/>
      <c r="J343" s="295"/>
      <c r="K343" s="295"/>
      <c r="L343" s="295"/>
      <c r="M343" s="295"/>
      <c r="N343" s="295"/>
      <c r="O343" s="295"/>
      <c r="P343" s="295"/>
      <c r="Q343" s="296"/>
      <c r="R343" s="296"/>
      <c r="S343" s="296"/>
      <c r="T343" s="296"/>
      <c r="U343" s="291"/>
      <c r="V343" s="291"/>
    </row>
    <row r="344" spans="1:22">
      <c r="A344" s="127"/>
      <c r="B344" s="293"/>
      <c r="C344" s="294"/>
      <c r="D344" s="295"/>
      <c r="E344" s="293"/>
      <c r="F344" s="293"/>
      <c r="G344" s="293"/>
      <c r="H344" s="293"/>
      <c r="I344" s="295"/>
      <c r="J344" s="295"/>
      <c r="K344" s="295"/>
      <c r="L344" s="295"/>
      <c r="M344" s="295"/>
      <c r="N344" s="295"/>
      <c r="O344" s="295"/>
      <c r="P344" s="295"/>
      <c r="Q344" s="296"/>
      <c r="R344" s="296"/>
      <c r="S344" s="296"/>
      <c r="T344" s="296"/>
      <c r="U344" s="291"/>
      <c r="V344" s="291"/>
    </row>
  </sheetData>
  <mergeCells count="14">
    <mergeCell ref="B26:V26"/>
    <mergeCell ref="C2:H2"/>
    <mergeCell ref="I2:N2"/>
    <mergeCell ref="U2:V2"/>
    <mergeCell ref="B8:V8"/>
    <mergeCell ref="B9:V9"/>
    <mergeCell ref="B96:T96"/>
    <mergeCell ref="B142:S142"/>
    <mergeCell ref="B45:V45"/>
    <mergeCell ref="B69:T69"/>
    <mergeCell ref="B70:T70"/>
    <mergeCell ref="B80:T80"/>
    <mergeCell ref="B88:T88"/>
    <mergeCell ref="B89:T89"/>
  </mergeCells>
  <conditionalFormatting sqref="O12:T12 C14:K15 L14:L16 B16:K18 L18:T18 B19:T21 B22:V22 B23:L23 N23:V23 B26:B27 C27:T27 B28:T28 B44:T44 B45:B46 C46:T46 B71:T79 B88:B89 B92:J92 B96 B10:V11 C13:L13 M13:M16 N13:T17 B12:B15 U12:V21 B24:V25 B29:V43 B47:T68 B80 B81:T87 B90:T91 L92:T92 B93:T95 B97:T99">
    <cfRule type="expression" dxfId="4" priority="1">
      <formula>OR($T10="N")</formula>
    </cfRule>
  </conditionalFormatting>
  <conditionalFormatting sqref="B69:B70">
    <cfRule type="expression" dxfId="3" priority="4">
      <formula>OR($T69="N")</formula>
    </cfRule>
  </conditionalFormatting>
  <conditionalFormatting sqref="C12:M12">
    <cfRule type="expression" dxfId="2" priority="2">
      <formula>OR($T12="N")</formula>
    </cfRule>
  </conditionalFormatting>
  <conditionalFormatting sqref="L17:M17">
    <cfRule type="expression" dxfId="1" priority="3">
      <formula>OR($T17="N")</formula>
    </cfRule>
  </conditionalFormatting>
  <conditionalFormatting sqref="U27:V28">
    <cfRule type="expression" dxfId="0" priority="5">
      <formula>OR($T27="N")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9BD0-C717-4C9F-BB46-2B57CE70B781}">
  <dimension ref="A1:W126"/>
  <sheetViews>
    <sheetView topLeftCell="A91" workbookViewId="0">
      <selection activeCell="J57" sqref="J57"/>
    </sheetView>
  </sheetViews>
  <sheetFormatPr baseColWidth="10" defaultRowHeight="15"/>
  <sheetData>
    <row r="1" spans="1:23" s="342" customFormat="1"/>
    <row r="2" spans="1:23" s="342" customFormat="1"/>
    <row r="3" spans="1:23" s="342" customFormat="1"/>
    <row r="4" spans="1:23" s="342" customFormat="1" ht="26.25">
      <c r="K4" s="343" t="s">
        <v>345</v>
      </c>
    </row>
    <row r="5" spans="1:23" s="342" customFormat="1"/>
    <row r="6" spans="1:23" s="342" customFormat="1"/>
    <row r="7" spans="1:23" s="342" customFormat="1" ht="15.75">
      <c r="A7" s="344" t="s">
        <v>346</v>
      </c>
      <c r="I7" s="344" t="s">
        <v>347</v>
      </c>
      <c r="Q7" s="344" t="s">
        <v>348</v>
      </c>
    </row>
    <row r="8" spans="1:23" s="342" customFormat="1"/>
    <row r="9" spans="1:23" s="342" customFormat="1" ht="14.25" customHeight="1">
      <c r="A9" s="345" t="s">
        <v>349</v>
      </c>
      <c r="B9" s="346" t="s">
        <v>350</v>
      </c>
      <c r="C9" s="346"/>
      <c r="D9" s="346"/>
      <c r="E9" s="346"/>
      <c r="F9" s="346"/>
      <c r="G9" s="346"/>
      <c r="H9" s="347"/>
      <c r="I9" s="345" t="s">
        <v>349</v>
      </c>
      <c r="J9" s="348" t="s">
        <v>350</v>
      </c>
      <c r="K9" s="348"/>
      <c r="L9" s="348"/>
      <c r="M9" s="348"/>
      <c r="N9" s="348"/>
      <c r="O9" s="348"/>
      <c r="Q9" s="345" t="s">
        <v>349</v>
      </c>
      <c r="R9" s="348" t="s">
        <v>350</v>
      </c>
      <c r="S9" s="348"/>
      <c r="T9" s="348"/>
      <c r="U9" s="348"/>
      <c r="V9" s="348"/>
      <c r="W9" s="348"/>
    </row>
    <row r="10" spans="1:23" s="342" customFormat="1">
      <c r="A10" s="349" t="s">
        <v>351</v>
      </c>
      <c r="B10" s="350" t="s">
        <v>184</v>
      </c>
      <c r="C10" s="350" t="s">
        <v>35</v>
      </c>
      <c r="D10" s="350" t="s">
        <v>185</v>
      </c>
      <c r="E10" s="350" t="s">
        <v>37</v>
      </c>
      <c r="F10" s="350" t="s">
        <v>38</v>
      </c>
      <c r="G10" s="351" t="s">
        <v>39</v>
      </c>
      <c r="I10" s="349" t="s">
        <v>351</v>
      </c>
      <c r="J10" s="350" t="s">
        <v>184</v>
      </c>
      <c r="K10" s="350" t="s">
        <v>35</v>
      </c>
      <c r="L10" s="350" t="s">
        <v>185</v>
      </c>
      <c r="M10" s="350" t="s">
        <v>37</v>
      </c>
      <c r="N10" s="350" t="s">
        <v>38</v>
      </c>
      <c r="O10" s="351" t="s">
        <v>39</v>
      </c>
      <c r="Q10" s="349" t="s">
        <v>351</v>
      </c>
      <c r="R10" s="350" t="s">
        <v>184</v>
      </c>
      <c r="S10" s="350" t="s">
        <v>35</v>
      </c>
      <c r="T10" s="350" t="s">
        <v>185</v>
      </c>
      <c r="U10" s="350" t="s">
        <v>37</v>
      </c>
      <c r="V10" s="350" t="s">
        <v>38</v>
      </c>
      <c r="W10" s="351" t="s">
        <v>39</v>
      </c>
    </row>
    <row r="11" spans="1:23" s="342" customFormat="1">
      <c r="A11" s="352" t="s">
        <v>85</v>
      </c>
      <c r="B11" s="353">
        <v>0.14399700000000001</v>
      </c>
      <c r="C11" s="353">
        <v>0.14399700000000001</v>
      </c>
      <c r="D11" s="353">
        <v>0.14399700000000001</v>
      </c>
      <c r="E11" s="353"/>
      <c r="F11" s="353"/>
      <c r="G11" s="353"/>
      <c r="I11" s="352" t="s">
        <v>85</v>
      </c>
      <c r="J11" s="353">
        <v>0.13892099999999999</v>
      </c>
      <c r="K11" s="353">
        <v>0.13892099999999999</v>
      </c>
      <c r="L11" s="353">
        <v>0.13892099999999999</v>
      </c>
      <c r="M11" s="353"/>
      <c r="N11" s="353"/>
      <c r="O11" s="353"/>
      <c r="Q11" s="352" t="s">
        <v>85</v>
      </c>
      <c r="R11" s="353">
        <v>0.13384499999999999</v>
      </c>
      <c r="S11" s="353">
        <v>0.13384499999999999</v>
      </c>
      <c r="T11" s="353">
        <v>0.13384499999999999</v>
      </c>
      <c r="U11" s="353"/>
      <c r="V11" s="353"/>
      <c r="W11" s="353"/>
    </row>
    <row r="12" spans="1:23" s="342" customFormat="1" ht="14.25" customHeight="1">
      <c r="A12" s="352" t="s">
        <v>87</v>
      </c>
      <c r="B12" s="353">
        <v>0.123864</v>
      </c>
      <c r="C12" s="353">
        <v>0.123864</v>
      </c>
      <c r="D12" s="353">
        <v>0.123864</v>
      </c>
      <c r="E12" s="353">
        <v>0.123864</v>
      </c>
      <c r="F12" s="353">
        <v>0.123864</v>
      </c>
      <c r="G12" s="353">
        <v>0.123864</v>
      </c>
      <c r="I12" s="352" t="s">
        <v>87</v>
      </c>
      <c r="J12" s="353">
        <v>0.118788</v>
      </c>
      <c r="K12" s="353">
        <v>0.118788</v>
      </c>
      <c r="L12" s="353">
        <v>0.118788</v>
      </c>
      <c r="M12" s="353">
        <v>0.118788</v>
      </c>
      <c r="N12" s="353">
        <v>0.118788</v>
      </c>
      <c r="O12" s="353">
        <v>0.118788</v>
      </c>
      <c r="Q12" s="352" t="s">
        <v>87</v>
      </c>
      <c r="R12" s="353">
        <v>0.11371199999999999</v>
      </c>
      <c r="S12" s="353">
        <v>0.11371199999999999</v>
      </c>
      <c r="T12" s="353">
        <v>0.11371199999999999</v>
      </c>
      <c r="U12" s="353">
        <v>0.11371199999999999</v>
      </c>
      <c r="V12" s="353">
        <v>0.11371199999999999</v>
      </c>
      <c r="W12" s="353">
        <v>0.11371199999999999</v>
      </c>
    </row>
    <row r="13" spans="1:23" s="342" customFormat="1">
      <c r="A13" s="345"/>
      <c r="B13" s="354"/>
      <c r="C13" s="354"/>
      <c r="D13" s="354"/>
      <c r="E13" s="354"/>
      <c r="F13" s="354"/>
      <c r="G13" s="354"/>
      <c r="I13" s="345"/>
      <c r="J13" s="354"/>
      <c r="K13" s="354"/>
      <c r="L13" s="354"/>
      <c r="M13" s="354"/>
      <c r="N13" s="354"/>
      <c r="O13" s="354"/>
      <c r="Q13" s="345"/>
      <c r="R13" s="354"/>
      <c r="S13" s="354"/>
      <c r="T13" s="354"/>
      <c r="U13" s="354"/>
      <c r="V13" s="354"/>
      <c r="W13" s="354"/>
    </row>
    <row r="14" spans="1:23" s="342" customFormat="1"/>
    <row r="15" spans="1:23" s="342" customFormat="1" ht="15.75">
      <c r="I15" s="355" t="s">
        <v>352</v>
      </c>
      <c r="J15" s="355"/>
      <c r="K15" s="355"/>
      <c r="L15" s="355"/>
      <c r="M15" s="355"/>
      <c r="N15" s="355"/>
      <c r="O15" s="355"/>
      <c r="P15" s="355"/>
    </row>
    <row r="16" spans="1:23" s="342" customFormat="1"/>
    <row r="17" spans="1:23" s="342" customFormat="1"/>
    <row r="18" spans="1:23" s="342" customFormat="1" ht="14.25" customHeight="1">
      <c r="A18" s="346" t="s">
        <v>353</v>
      </c>
      <c r="B18" s="346"/>
      <c r="C18" s="346"/>
      <c r="D18" s="346"/>
      <c r="E18" s="346"/>
      <c r="F18" s="346"/>
      <c r="G18" s="346"/>
      <c r="H18" s="356"/>
      <c r="I18" s="346" t="s">
        <v>353</v>
      </c>
      <c r="J18" s="346"/>
      <c r="K18" s="346"/>
      <c r="L18" s="346"/>
      <c r="M18" s="346"/>
      <c r="N18" s="346"/>
      <c r="O18" s="346"/>
      <c r="Q18" s="346" t="s">
        <v>353</v>
      </c>
      <c r="R18" s="346"/>
      <c r="S18" s="346"/>
      <c r="T18" s="346"/>
      <c r="U18" s="346"/>
      <c r="V18" s="346"/>
      <c r="W18" s="346"/>
    </row>
    <row r="19" spans="1:23" s="342" customFormat="1">
      <c r="A19" s="349" t="s">
        <v>351</v>
      </c>
      <c r="B19" s="350" t="s">
        <v>184</v>
      </c>
      <c r="C19" s="350" t="s">
        <v>35</v>
      </c>
      <c r="D19" s="350" t="s">
        <v>185</v>
      </c>
      <c r="E19" s="350" t="s">
        <v>37</v>
      </c>
      <c r="F19" s="350" t="s">
        <v>38</v>
      </c>
      <c r="G19" s="351" t="s">
        <v>39</v>
      </c>
      <c r="I19" s="349" t="s">
        <v>351</v>
      </c>
      <c r="J19" s="350" t="s">
        <v>184</v>
      </c>
      <c r="K19" s="350" t="s">
        <v>35</v>
      </c>
      <c r="L19" s="350" t="s">
        <v>185</v>
      </c>
      <c r="M19" s="350" t="s">
        <v>37</v>
      </c>
      <c r="N19" s="350" t="s">
        <v>38</v>
      </c>
      <c r="O19" s="351" t="s">
        <v>39</v>
      </c>
      <c r="Q19" s="349" t="s">
        <v>351</v>
      </c>
      <c r="R19" s="350" t="s">
        <v>184</v>
      </c>
      <c r="S19" s="350" t="s">
        <v>35</v>
      </c>
      <c r="T19" s="350" t="s">
        <v>185</v>
      </c>
      <c r="U19" s="350" t="s">
        <v>37</v>
      </c>
      <c r="V19" s="350" t="s">
        <v>38</v>
      </c>
      <c r="W19" s="351" t="s">
        <v>39</v>
      </c>
    </row>
    <row r="20" spans="1:23" s="342" customFormat="1">
      <c r="A20" s="352" t="s">
        <v>85</v>
      </c>
      <c r="B20" s="353">
        <v>39.704413000000002</v>
      </c>
      <c r="C20" s="353">
        <v>21.725422999999999</v>
      </c>
      <c r="D20" s="353"/>
      <c r="E20" s="353"/>
      <c r="F20" s="353"/>
      <c r="G20" s="353"/>
      <c r="I20" s="352" t="s">
        <v>85</v>
      </c>
      <c r="J20" s="353">
        <v>37.704413000000002</v>
      </c>
      <c r="K20" s="353">
        <v>19.725422999999999</v>
      </c>
      <c r="L20" s="353"/>
      <c r="M20" s="353"/>
      <c r="N20" s="353"/>
      <c r="O20" s="353"/>
      <c r="Q20" s="352" t="s">
        <v>85</v>
      </c>
      <c r="R20" s="353">
        <v>34.204413000000002</v>
      </c>
      <c r="S20" s="353">
        <v>19.725422999999999</v>
      </c>
      <c r="T20" s="353"/>
      <c r="U20" s="353"/>
      <c r="V20" s="353"/>
      <c r="W20" s="353"/>
    </row>
    <row r="21" spans="1:23" s="342" customFormat="1">
      <c r="A21" s="352" t="s">
        <v>87</v>
      </c>
      <c r="B21" s="353">
        <v>24.876926999999998</v>
      </c>
      <c r="C21" s="353">
        <v>15.117621</v>
      </c>
      <c r="D21" s="353">
        <v>8.9815339999999999</v>
      </c>
      <c r="E21" s="353">
        <v>12.386333</v>
      </c>
      <c r="F21" s="353">
        <v>14.013851000000001</v>
      </c>
      <c r="G21" s="353">
        <v>14.442287</v>
      </c>
      <c r="I21" s="352" t="s">
        <v>87</v>
      </c>
      <c r="J21" s="353">
        <v>23.376926999999998</v>
      </c>
      <c r="K21" s="353">
        <v>13.617621</v>
      </c>
      <c r="L21" s="353">
        <v>7.5815340000000004</v>
      </c>
      <c r="M21" s="353">
        <v>11.386333</v>
      </c>
      <c r="N21" s="353">
        <v>13.013851000000001</v>
      </c>
      <c r="O21" s="353">
        <v>13.442287</v>
      </c>
      <c r="Q21" s="352" t="s">
        <v>87</v>
      </c>
      <c r="R21" s="353">
        <v>23.376926999999998</v>
      </c>
      <c r="S21" s="353">
        <v>13.617621</v>
      </c>
      <c r="T21" s="353">
        <v>7.4815339999999999</v>
      </c>
      <c r="U21" s="353">
        <v>10.386333</v>
      </c>
      <c r="V21" s="353">
        <v>10.513851000000001</v>
      </c>
      <c r="W21" s="353">
        <v>9.9422870000000003</v>
      </c>
    </row>
    <row r="23" spans="1:23" s="358" customFormat="1"/>
    <row r="24" spans="1:23" s="359" customFormat="1"/>
    <row r="25" spans="1:23" s="359" customFormat="1"/>
    <row r="26" spans="1:23" s="359" customFormat="1" ht="26.25">
      <c r="K26" s="360" t="s">
        <v>354</v>
      </c>
    </row>
    <row r="27" spans="1:23" s="359" customFormat="1"/>
    <row r="28" spans="1:23" s="359" customFormat="1"/>
    <row r="29" spans="1:23" s="359" customFormat="1" ht="15.75">
      <c r="A29" s="361" t="s">
        <v>346</v>
      </c>
      <c r="I29" s="361" t="s">
        <v>347</v>
      </c>
      <c r="Q29" s="361" t="s">
        <v>348</v>
      </c>
    </row>
    <row r="30" spans="1:23" s="359" customFormat="1"/>
    <row r="31" spans="1:23" s="359" customFormat="1" ht="14.25" customHeight="1">
      <c r="A31" s="362" t="s">
        <v>349</v>
      </c>
      <c r="B31" s="363" t="s">
        <v>350</v>
      </c>
      <c r="C31" s="363"/>
      <c r="D31" s="363"/>
      <c r="E31" s="363"/>
      <c r="F31" s="363"/>
      <c r="G31" s="363"/>
      <c r="H31" s="364"/>
      <c r="I31" s="362" t="s">
        <v>349</v>
      </c>
      <c r="J31" s="363" t="s">
        <v>350</v>
      </c>
      <c r="K31" s="363"/>
      <c r="L31" s="363"/>
      <c r="M31" s="363"/>
      <c r="N31" s="363"/>
      <c r="O31" s="363"/>
      <c r="Q31" s="362" t="s">
        <v>349</v>
      </c>
      <c r="R31" s="363" t="s">
        <v>350</v>
      </c>
      <c r="S31" s="363"/>
      <c r="T31" s="363"/>
      <c r="U31" s="363"/>
      <c r="V31" s="363"/>
      <c r="W31" s="363"/>
    </row>
    <row r="32" spans="1:23" s="359" customFormat="1">
      <c r="A32" s="349" t="s">
        <v>351</v>
      </c>
      <c r="B32" s="350" t="s">
        <v>184</v>
      </c>
      <c r="C32" s="350" t="s">
        <v>35</v>
      </c>
      <c r="D32" s="350" t="s">
        <v>185</v>
      </c>
      <c r="E32" s="350" t="s">
        <v>37</v>
      </c>
      <c r="F32" s="350" t="s">
        <v>38</v>
      </c>
      <c r="G32" s="351" t="s">
        <v>39</v>
      </c>
      <c r="I32" s="349" t="s">
        <v>351</v>
      </c>
      <c r="J32" s="350" t="s">
        <v>184</v>
      </c>
      <c r="K32" s="350" t="s">
        <v>35</v>
      </c>
      <c r="L32" s="350" t="s">
        <v>185</v>
      </c>
      <c r="M32" s="350" t="s">
        <v>37</v>
      </c>
      <c r="N32" s="350" t="s">
        <v>38</v>
      </c>
      <c r="O32" s="351" t="s">
        <v>39</v>
      </c>
      <c r="Q32" s="349" t="s">
        <v>351</v>
      </c>
      <c r="R32" s="350" t="s">
        <v>184</v>
      </c>
      <c r="S32" s="350" t="s">
        <v>35</v>
      </c>
      <c r="T32" s="350" t="s">
        <v>185</v>
      </c>
      <c r="U32" s="350" t="s">
        <v>37</v>
      </c>
      <c r="V32" s="350" t="s">
        <v>38</v>
      </c>
      <c r="W32" s="351" t="s">
        <v>39</v>
      </c>
    </row>
    <row r="33" spans="1:23" s="359" customFormat="1">
      <c r="A33" s="352" t="s">
        <v>85</v>
      </c>
      <c r="B33" s="353">
        <v>0.225997</v>
      </c>
      <c r="C33" s="353">
        <v>0.155052</v>
      </c>
      <c r="D33" s="353">
        <v>0.12808900000000001</v>
      </c>
      <c r="E33" s="353"/>
      <c r="F33" s="353"/>
      <c r="G33" s="353"/>
      <c r="I33" s="352" t="s">
        <v>85</v>
      </c>
      <c r="J33" s="353">
        <v>0.21417900000000001</v>
      </c>
      <c r="K33" s="353">
        <v>0.143234</v>
      </c>
      <c r="L33" s="353">
        <v>0.116272</v>
      </c>
      <c r="M33" s="353"/>
      <c r="N33" s="353"/>
      <c r="O33" s="353"/>
      <c r="Q33" s="352" t="s">
        <v>85</v>
      </c>
      <c r="R33" s="353">
        <v>0.20790500000000001</v>
      </c>
      <c r="S33" s="353">
        <v>0.13696</v>
      </c>
      <c r="T33" s="353">
        <v>0.109998</v>
      </c>
      <c r="U33" s="353"/>
      <c r="V33" s="353"/>
      <c r="W33" s="353"/>
    </row>
    <row r="34" spans="1:23" s="359" customFormat="1" ht="14.25" customHeight="1">
      <c r="A34" s="352" t="s">
        <v>87</v>
      </c>
      <c r="B34" s="353">
        <v>0.20205300000000001</v>
      </c>
      <c r="C34" s="353">
        <v>0.17247000000000001</v>
      </c>
      <c r="D34" s="353">
        <v>0.14055200000000001</v>
      </c>
      <c r="E34" s="353">
        <v>0.11947099999999999</v>
      </c>
      <c r="F34" s="353">
        <v>0.10617500000000001</v>
      </c>
      <c r="G34" s="353">
        <v>0.12461700000000001</v>
      </c>
      <c r="I34" s="352" t="s">
        <v>87</v>
      </c>
      <c r="J34" s="353">
        <v>0.19023599999999999</v>
      </c>
      <c r="K34" s="353">
        <v>0.16065299999999999</v>
      </c>
      <c r="L34" s="353">
        <v>0.12873499999999999</v>
      </c>
      <c r="M34" s="353">
        <v>0.107653</v>
      </c>
      <c r="N34" s="353">
        <v>9.4357999999999997E-2</v>
      </c>
      <c r="O34" s="353">
        <v>0.1128</v>
      </c>
      <c r="Q34" s="352" t="s">
        <v>87</v>
      </c>
      <c r="R34" s="353">
        <v>0.18396199999999999</v>
      </c>
      <c r="S34" s="353">
        <v>0.15437799999999999</v>
      </c>
      <c r="T34" s="353">
        <v>0.122461</v>
      </c>
      <c r="U34" s="353">
        <v>0.101379</v>
      </c>
      <c r="V34" s="353">
        <v>8.8083999999999996E-2</v>
      </c>
      <c r="W34" s="353">
        <v>0.106526</v>
      </c>
    </row>
    <row r="35" spans="1:23" s="359" customFormat="1">
      <c r="A35" s="352" t="s">
        <v>89</v>
      </c>
      <c r="B35" s="353">
        <v>0.17438699999999999</v>
      </c>
      <c r="C35" s="353">
        <v>0.15142</v>
      </c>
      <c r="D35" s="353">
        <v>0.127164</v>
      </c>
      <c r="E35" s="353">
        <v>0.111237</v>
      </c>
      <c r="F35" s="353">
        <v>0.100046</v>
      </c>
      <c r="G35" s="353">
        <v>0.12101099999999999</v>
      </c>
      <c r="I35" s="352" t="s">
        <v>89</v>
      </c>
      <c r="J35" s="353">
        <v>0.16256899999999999</v>
      </c>
      <c r="K35" s="353">
        <v>0.139603</v>
      </c>
      <c r="L35" s="353">
        <v>0.11534700000000001</v>
      </c>
      <c r="M35" s="353">
        <v>9.9419999999999994E-2</v>
      </c>
      <c r="N35" s="353">
        <v>8.8228000000000001E-2</v>
      </c>
      <c r="O35" s="353">
        <v>0.109193</v>
      </c>
      <c r="Q35" s="352" t="s">
        <v>89</v>
      </c>
      <c r="R35" s="353">
        <v>0.15629499999999999</v>
      </c>
      <c r="S35" s="353">
        <v>0.133329</v>
      </c>
      <c r="T35" s="353">
        <v>0.109073</v>
      </c>
      <c r="U35" s="353">
        <v>9.3146000000000007E-2</v>
      </c>
      <c r="V35" s="353">
        <v>8.1953999999999999E-2</v>
      </c>
      <c r="W35" s="353">
        <v>0.102919</v>
      </c>
    </row>
    <row r="36" spans="1:23" s="359" customFormat="1">
      <c r="A36" s="362"/>
      <c r="B36" s="365"/>
      <c r="C36" s="365"/>
      <c r="D36" s="365"/>
      <c r="E36" s="365"/>
      <c r="F36" s="365"/>
      <c r="G36" s="365"/>
      <c r="I36" s="362"/>
      <c r="J36" s="365"/>
      <c r="K36" s="365"/>
      <c r="L36" s="365"/>
      <c r="M36" s="365"/>
      <c r="N36" s="365"/>
      <c r="O36" s="365"/>
      <c r="Q36" s="362"/>
      <c r="R36" s="365"/>
      <c r="S36" s="365"/>
      <c r="T36" s="365"/>
      <c r="U36" s="365"/>
      <c r="V36" s="365"/>
      <c r="W36" s="365"/>
    </row>
    <row r="37" spans="1:23" s="359" customFormat="1">
      <c r="B37" s="365"/>
      <c r="C37" s="365"/>
      <c r="D37" s="365"/>
      <c r="E37" s="365"/>
      <c r="F37" s="365"/>
      <c r="G37" s="365"/>
      <c r="J37" s="365"/>
      <c r="K37" s="365"/>
      <c r="L37" s="365"/>
      <c r="M37" s="365"/>
      <c r="N37" s="365"/>
      <c r="O37" s="365"/>
      <c r="R37" s="365"/>
      <c r="S37" s="365"/>
      <c r="T37" s="365"/>
      <c r="U37" s="365"/>
      <c r="V37" s="365"/>
      <c r="W37" s="365"/>
    </row>
    <row r="38" spans="1:23" s="359" customFormat="1" ht="14.25" customHeight="1">
      <c r="A38" s="362" t="s">
        <v>355</v>
      </c>
      <c r="B38" s="363" t="s">
        <v>350</v>
      </c>
      <c r="C38" s="363"/>
      <c r="D38" s="363"/>
      <c r="E38" s="363"/>
      <c r="F38" s="363"/>
      <c r="G38" s="363"/>
      <c r="I38" s="362" t="s">
        <v>355</v>
      </c>
      <c r="J38" s="363" t="s">
        <v>350</v>
      </c>
      <c r="K38" s="363"/>
      <c r="L38" s="363"/>
      <c r="M38" s="363"/>
      <c r="N38" s="363"/>
      <c r="O38" s="363"/>
      <c r="Q38" s="362" t="s">
        <v>355</v>
      </c>
      <c r="R38" s="363" t="s">
        <v>350</v>
      </c>
      <c r="S38" s="363"/>
      <c r="T38" s="363"/>
      <c r="U38" s="363"/>
      <c r="V38" s="363"/>
      <c r="W38" s="363"/>
    </row>
    <row r="39" spans="1:23" s="359" customFormat="1">
      <c r="A39" s="349" t="s">
        <v>351</v>
      </c>
      <c r="B39" s="350" t="s">
        <v>184</v>
      </c>
      <c r="C39" s="350" t="s">
        <v>35</v>
      </c>
      <c r="D39" s="350" t="s">
        <v>185</v>
      </c>
      <c r="E39" s="350" t="s">
        <v>37</v>
      </c>
      <c r="F39" s="350" t="s">
        <v>38</v>
      </c>
      <c r="G39" s="351" t="s">
        <v>39</v>
      </c>
      <c r="I39" s="349" t="s">
        <v>351</v>
      </c>
      <c r="J39" s="350" t="s">
        <v>184</v>
      </c>
      <c r="K39" s="350" t="s">
        <v>35</v>
      </c>
      <c r="L39" s="350" t="s">
        <v>185</v>
      </c>
      <c r="M39" s="350" t="s">
        <v>37</v>
      </c>
      <c r="N39" s="350" t="s">
        <v>38</v>
      </c>
      <c r="O39" s="351" t="s">
        <v>39</v>
      </c>
      <c r="Q39" s="349" t="s">
        <v>351</v>
      </c>
      <c r="R39" s="350" t="s">
        <v>184</v>
      </c>
      <c r="S39" s="350" t="s">
        <v>35</v>
      </c>
      <c r="T39" s="350" t="s">
        <v>185</v>
      </c>
      <c r="U39" s="350" t="s">
        <v>37</v>
      </c>
      <c r="V39" s="350" t="s">
        <v>38</v>
      </c>
      <c r="W39" s="351" t="s">
        <v>39</v>
      </c>
    </row>
    <row r="40" spans="1:23" s="359" customFormat="1">
      <c r="A40" s="352" t="s">
        <v>85</v>
      </c>
      <c r="B40" s="353">
        <v>0.228487</v>
      </c>
      <c r="C40" s="353">
        <v>0.15431700000000001</v>
      </c>
      <c r="D40" s="353">
        <v>0.124392</v>
      </c>
      <c r="E40" s="353"/>
      <c r="F40" s="353"/>
      <c r="G40" s="353"/>
      <c r="I40" s="352" t="s">
        <v>85</v>
      </c>
      <c r="J40" s="353">
        <v>0.21667</v>
      </c>
      <c r="K40" s="353">
        <v>0.14249999999999999</v>
      </c>
      <c r="L40" s="353">
        <v>0.11257499999999999</v>
      </c>
      <c r="M40" s="353"/>
      <c r="N40" s="353"/>
      <c r="O40" s="353"/>
      <c r="Q40" s="352" t="s">
        <v>85</v>
      </c>
      <c r="R40" s="353">
        <v>0.210396</v>
      </c>
      <c r="S40" s="353">
        <v>0.13622600000000001</v>
      </c>
      <c r="T40" s="353">
        <v>0.10630100000000001</v>
      </c>
      <c r="U40" s="353"/>
      <c r="V40" s="353"/>
      <c r="W40" s="353"/>
    </row>
    <row r="41" spans="1:23" s="359" customFormat="1" ht="14.25" customHeight="1">
      <c r="A41" s="352" t="s">
        <v>87</v>
      </c>
      <c r="B41" s="353">
        <v>0.177014</v>
      </c>
      <c r="C41" s="353">
        <v>0.16145599999999999</v>
      </c>
      <c r="D41" s="353">
        <v>0.150842</v>
      </c>
      <c r="E41" s="353">
        <v>0.13803199999999999</v>
      </c>
      <c r="F41" s="353">
        <v>0.12592100000000001</v>
      </c>
      <c r="G41" s="353">
        <v>0.12521299999999999</v>
      </c>
      <c r="I41" s="352" t="s">
        <v>87</v>
      </c>
      <c r="J41" s="353">
        <v>0.16519700000000001</v>
      </c>
      <c r="K41" s="353">
        <v>0.14963799999999999</v>
      </c>
      <c r="L41" s="353">
        <v>0.13902500000000001</v>
      </c>
      <c r="M41" s="353">
        <v>0.12621499999999999</v>
      </c>
      <c r="N41" s="353">
        <v>0.114104</v>
      </c>
      <c r="O41" s="353">
        <v>0.113396</v>
      </c>
      <c r="Q41" s="352" t="s">
        <v>87</v>
      </c>
      <c r="R41" s="353">
        <v>0.15892300000000001</v>
      </c>
      <c r="S41" s="353">
        <v>0.14336399999999999</v>
      </c>
      <c r="T41" s="353">
        <v>0.13275100000000001</v>
      </c>
      <c r="U41" s="353">
        <v>0.11994100000000001</v>
      </c>
      <c r="V41" s="353">
        <v>0.10783</v>
      </c>
      <c r="W41" s="353">
        <v>0.107122</v>
      </c>
    </row>
    <row r="42" spans="1:23" s="359" customFormat="1">
      <c r="A42" s="352" t="s">
        <v>89</v>
      </c>
      <c r="B42" s="353">
        <v>0.15115700000000001</v>
      </c>
      <c r="C42" s="353">
        <v>0.14014199999999999</v>
      </c>
      <c r="D42" s="353">
        <v>0.13647100000000001</v>
      </c>
      <c r="E42" s="353">
        <v>0.126723</v>
      </c>
      <c r="F42" s="353">
        <v>0.11580799999999999</v>
      </c>
      <c r="G42" s="353">
        <v>0.115573</v>
      </c>
      <c r="I42" s="352" t="s">
        <v>89</v>
      </c>
      <c r="J42" s="353">
        <v>0.13933999999999999</v>
      </c>
      <c r="K42" s="353">
        <v>0.12832499999999999</v>
      </c>
      <c r="L42" s="353">
        <v>0.124654</v>
      </c>
      <c r="M42" s="353">
        <v>0.11490599999999999</v>
      </c>
      <c r="N42" s="353">
        <v>0.103991</v>
      </c>
      <c r="O42" s="353">
        <v>0.103755</v>
      </c>
      <c r="Q42" s="352" t="s">
        <v>89</v>
      </c>
      <c r="R42" s="353">
        <v>0.13306499999999999</v>
      </c>
      <c r="S42" s="353">
        <v>0.12205100000000001</v>
      </c>
      <c r="T42" s="353">
        <v>0.11838</v>
      </c>
      <c r="U42" s="353">
        <v>0.10863200000000001</v>
      </c>
      <c r="V42" s="353">
        <v>9.7716999999999998E-2</v>
      </c>
      <c r="W42" s="353">
        <v>9.7480999999999998E-2</v>
      </c>
    </row>
    <row r="43" spans="1:23" s="359" customFormat="1">
      <c r="A43" s="362"/>
      <c r="B43" s="365"/>
      <c r="C43" s="365"/>
      <c r="D43" s="365"/>
      <c r="E43" s="365"/>
      <c r="F43" s="365"/>
      <c r="G43" s="365"/>
      <c r="I43" s="362"/>
      <c r="J43" s="365"/>
      <c r="K43" s="365"/>
      <c r="L43" s="365"/>
      <c r="M43" s="365"/>
      <c r="N43" s="365"/>
      <c r="O43" s="365"/>
      <c r="Q43" s="362"/>
      <c r="R43" s="365"/>
      <c r="S43" s="365"/>
      <c r="T43" s="365"/>
      <c r="U43" s="365"/>
      <c r="V43" s="365"/>
      <c r="W43" s="365"/>
    </row>
    <row r="44" spans="1:23" s="359" customFormat="1">
      <c r="B44" s="365"/>
      <c r="C44" s="365"/>
      <c r="D44" s="365"/>
      <c r="E44" s="365"/>
      <c r="F44" s="365"/>
      <c r="G44" s="365"/>
      <c r="J44" s="365"/>
      <c r="K44" s="365"/>
      <c r="L44" s="365"/>
      <c r="M44" s="365"/>
      <c r="N44" s="365"/>
      <c r="O44" s="365"/>
      <c r="R44" s="365"/>
      <c r="S44" s="365"/>
      <c r="T44" s="365"/>
      <c r="U44" s="365"/>
      <c r="V44" s="365"/>
      <c r="W44" s="365"/>
    </row>
    <row r="45" spans="1:23" s="359" customFormat="1" ht="14.25" customHeight="1">
      <c r="A45" s="362" t="s">
        <v>356</v>
      </c>
      <c r="B45" s="363" t="s">
        <v>350</v>
      </c>
      <c r="C45" s="363"/>
      <c r="D45" s="363"/>
      <c r="E45" s="363"/>
      <c r="F45" s="363"/>
      <c r="G45" s="363"/>
      <c r="I45" s="362" t="s">
        <v>356</v>
      </c>
      <c r="J45" s="363" t="s">
        <v>350</v>
      </c>
      <c r="K45" s="363"/>
      <c r="L45" s="363"/>
      <c r="M45" s="363"/>
      <c r="N45" s="363"/>
      <c r="O45" s="363"/>
      <c r="Q45" s="362" t="s">
        <v>356</v>
      </c>
      <c r="R45" s="363" t="s">
        <v>350</v>
      </c>
      <c r="S45" s="363"/>
      <c r="T45" s="363"/>
      <c r="U45" s="363"/>
      <c r="V45" s="363"/>
      <c r="W45" s="363"/>
    </row>
    <row r="46" spans="1:23" s="359" customFormat="1">
      <c r="A46" s="349" t="s">
        <v>351</v>
      </c>
      <c r="B46" s="350" t="s">
        <v>184</v>
      </c>
      <c r="C46" s="350" t="s">
        <v>35</v>
      </c>
      <c r="D46" s="350" t="s">
        <v>185</v>
      </c>
      <c r="E46" s="350" t="s">
        <v>37</v>
      </c>
      <c r="F46" s="350" t="s">
        <v>38</v>
      </c>
      <c r="G46" s="351" t="s">
        <v>39</v>
      </c>
      <c r="I46" s="349" t="s">
        <v>351</v>
      </c>
      <c r="J46" s="350" t="s">
        <v>184</v>
      </c>
      <c r="K46" s="350" t="s">
        <v>35</v>
      </c>
      <c r="L46" s="350" t="s">
        <v>185</v>
      </c>
      <c r="M46" s="350" t="s">
        <v>37</v>
      </c>
      <c r="N46" s="350" t="s">
        <v>38</v>
      </c>
      <c r="O46" s="351" t="s">
        <v>39</v>
      </c>
      <c r="Q46" s="349" t="s">
        <v>351</v>
      </c>
      <c r="R46" s="350" t="s">
        <v>184</v>
      </c>
      <c r="S46" s="350" t="s">
        <v>35</v>
      </c>
      <c r="T46" s="350" t="s">
        <v>185</v>
      </c>
      <c r="U46" s="350" t="s">
        <v>37</v>
      </c>
      <c r="V46" s="350" t="s">
        <v>38</v>
      </c>
      <c r="W46" s="351" t="s">
        <v>39</v>
      </c>
    </row>
    <row r="47" spans="1:23" s="359" customFormat="1">
      <c r="A47" s="352" t="s">
        <v>85</v>
      </c>
      <c r="B47" s="353">
        <v>0.228487</v>
      </c>
      <c r="C47" s="353">
        <v>0.15431700000000001</v>
      </c>
      <c r="D47" s="353">
        <v>0.124392</v>
      </c>
      <c r="E47" s="353"/>
      <c r="F47" s="353"/>
      <c r="G47" s="353"/>
      <c r="I47" s="352" t="s">
        <v>85</v>
      </c>
      <c r="J47" s="353">
        <v>0.21667</v>
      </c>
      <c r="K47" s="353">
        <v>0.14249999999999999</v>
      </c>
      <c r="L47" s="353">
        <v>0.11257499999999999</v>
      </c>
      <c r="M47" s="353"/>
      <c r="N47" s="353"/>
      <c r="O47" s="353"/>
      <c r="Q47" s="352" t="s">
        <v>85</v>
      </c>
      <c r="R47" s="353">
        <v>0.210396</v>
      </c>
      <c r="S47" s="353">
        <v>0.13622600000000001</v>
      </c>
      <c r="T47" s="353">
        <v>0.10630100000000001</v>
      </c>
      <c r="U47" s="353"/>
      <c r="V47" s="353"/>
      <c r="W47" s="353"/>
    </row>
    <row r="48" spans="1:23" s="359" customFormat="1" ht="14.25" customHeight="1">
      <c r="A48" s="352" t="s">
        <v>87</v>
      </c>
      <c r="B48" s="353">
        <v>0.18581</v>
      </c>
      <c r="C48" s="353">
        <v>0.17482700000000001</v>
      </c>
      <c r="D48" s="353">
        <v>0.158637</v>
      </c>
      <c r="E48" s="353">
        <v>0.117853</v>
      </c>
      <c r="F48" s="353">
        <v>0.10494100000000001</v>
      </c>
      <c r="G48" s="353">
        <v>0.12521299999999999</v>
      </c>
      <c r="I48" s="352" t="s">
        <v>87</v>
      </c>
      <c r="J48" s="353">
        <v>0.17399300000000001</v>
      </c>
      <c r="K48" s="353">
        <v>0.16300999999999999</v>
      </c>
      <c r="L48" s="353">
        <v>0.14682000000000001</v>
      </c>
      <c r="M48" s="353">
        <v>0.10603600000000001</v>
      </c>
      <c r="N48" s="353">
        <v>9.3122999999999997E-2</v>
      </c>
      <c r="O48" s="353">
        <v>0.113396</v>
      </c>
      <c r="Q48" s="352" t="s">
        <v>87</v>
      </c>
      <c r="R48" s="353">
        <v>0.16771900000000001</v>
      </c>
      <c r="S48" s="353">
        <v>0.15673599999999999</v>
      </c>
      <c r="T48" s="353">
        <v>0.140546</v>
      </c>
      <c r="U48" s="353">
        <v>9.9762000000000003E-2</v>
      </c>
      <c r="V48" s="353">
        <v>8.6848999999999996E-2</v>
      </c>
      <c r="W48" s="353">
        <v>0.107122</v>
      </c>
    </row>
    <row r="49" spans="1:23" s="359" customFormat="1">
      <c r="A49" s="352" t="s">
        <v>89</v>
      </c>
      <c r="B49" s="353">
        <v>0.15909100000000001</v>
      </c>
      <c r="C49" s="353">
        <v>0.152228</v>
      </c>
      <c r="D49" s="353">
        <v>0.14366100000000001</v>
      </c>
      <c r="E49" s="353">
        <v>0.108212</v>
      </c>
      <c r="F49" s="353">
        <v>9.6657999999999994E-2</v>
      </c>
      <c r="G49" s="353">
        <v>0.115573</v>
      </c>
      <c r="I49" s="352" t="s">
        <v>89</v>
      </c>
      <c r="J49" s="353">
        <v>0.14727399999999999</v>
      </c>
      <c r="K49" s="353">
        <v>0.14041100000000001</v>
      </c>
      <c r="L49" s="353">
        <v>0.13184299999999999</v>
      </c>
      <c r="M49" s="353">
        <v>9.6393999999999994E-2</v>
      </c>
      <c r="N49" s="353">
        <v>8.4839999999999999E-2</v>
      </c>
      <c r="O49" s="353">
        <v>0.103755</v>
      </c>
      <c r="Q49" s="352" t="s">
        <v>89</v>
      </c>
      <c r="R49" s="353">
        <v>0.14099999999999999</v>
      </c>
      <c r="S49" s="353">
        <v>0.13413700000000001</v>
      </c>
      <c r="T49" s="353">
        <v>0.12556899999999999</v>
      </c>
      <c r="U49" s="353">
        <v>9.0120000000000006E-2</v>
      </c>
      <c r="V49" s="353">
        <v>7.8565999999999997E-2</v>
      </c>
      <c r="W49" s="353">
        <v>9.7480999999999998E-2</v>
      </c>
    </row>
    <row r="50" spans="1:23" s="359" customFormat="1"/>
    <row r="51" spans="1:23" s="359" customFormat="1"/>
    <row r="52" spans="1:23" s="359" customFormat="1" ht="15.75">
      <c r="I52" s="366" t="s">
        <v>352</v>
      </c>
      <c r="J52" s="366"/>
      <c r="K52" s="366"/>
      <c r="L52" s="366"/>
      <c r="M52" s="366"/>
      <c r="N52" s="366"/>
      <c r="O52" s="366"/>
      <c r="P52" s="366"/>
    </row>
    <row r="53" spans="1:23" s="359" customFormat="1"/>
    <row r="54" spans="1:23" s="359" customFormat="1">
      <c r="A54" s="362" t="s">
        <v>349</v>
      </c>
      <c r="I54" s="362" t="s">
        <v>349</v>
      </c>
      <c r="Q54" s="362" t="s">
        <v>349</v>
      </c>
    </row>
    <row r="55" spans="1:23" s="359" customFormat="1">
      <c r="A55" s="367" t="s">
        <v>357</v>
      </c>
      <c r="B55" s="367"/>
      <c r="C55" s="367"/>
      <c r="D55" s="367"/>
      <c r="E55" s="367"/>
      <c r="F55" s="367"/>
      <c r="G55" s="367"/>
      <c r="H55" s="368"/>
      <c r="I55" s="367" t="s">
        <v>358</v>
      </c>
      <c r="J55" s="367"/>
      <c r="K55" s="367"/>
      <c r="L55" s="367"/>
      <c r="M55" s="367"/>
      <c r="N55" s="367"/>
      <c r="O55" s="367"/>
      <c r="Q55" s="367" t="s">
        <v>359</v>
      </c>
      <c r="R55" s="367"/>
      <c r="S55" s="367"/>
      <c r="T55" s="367"/>
      <c r="U55" s="367"/>
      <c r="V55" s="367"/>
      <c r="W55" s="367"/>
    </row>
    <row r="56" spans="1:23" s="359" customFormat="1">
      <c r="A56" s="349" t="s">
        <v>351</v>
      </c>
      <c r="B56" s="350" t="s">
        <v>184</v>
      </c>
      <c r="C56" s="350" t="s">
        <v>35</v>
      </c>
      <c r="D56" s="350" t="s">
        <v>185</v>
      </c>
      <c r="E56" s="350" t="s">
        <v>37</v>
      </c>
      <c r="F56" s="350" t="s">
        <v>38</v>
      </c>
      <c r="G56" s="351" t="s">
        <v>39</v>
      </c>
      <c r="I56" s="349" t="s">
        <v>351</v>
      </c>
      <c r="J56" s="350" t="s">
        <v>184</v>
      </c>
      <c r="K56" s="350" t="s">
        <v>35</v>
      </c>
      <c r="L56" s="350" t="s">
        <v>185</v>
      </c>
      <c r="M56" s="350" t="s">
        <v>37</v>
      </c>
      <c r="N56" s="350" t="s">
        <v>38</v>
      </c>
      <c r="O56" s="351" t="s">
        <v>39</v>
      </c>
      <c r="Q56" s="349" t="s">
        <v>351</v>
      </c>
      <c r="R56" s="350" t="s">
        <v>184</v>
      </c>
      <c r="S56" s="350" t="s">
        <v>35</v>
      </c>
      <c r="T56" s="350" t="s">
        <v>185</v>
      </c>
      <c r="U56" s="350" t="s">
        <v>37</v>
      </c>
      <c r="V56" s="350" t="s">
        <v>38</v>
      </c>
      <c r="W56" s="351" t="s">
        <v>39</v>
      </c>
    </row>
    <row r="57" spans="1:23" s="359" customFormat="1">
      <c r="A57" s="352" t="s">
        <v>85</v>
      </c>
      <c r="B57" s="353">
        <v>27.704412999999999</v>
      </c>
      <c r="C57" s="353">
        <v>0.72542300000000004</v>
      </c>
      <c r="D57" s="353"/>
      <c r="E57" s="353"/>
      <c r="F57" s="353"/>
      <c r="G57" s="353"/>
      <c r="I57" s="352" t="s">
        <v>85</v>
      </c>
      <c r="J57" s="353">
        <f t="shared" ref="J57:O59" si="0">B57/365</f>
        <v>7.5902501369863012E-2</v>
      </c>
      <c r="K57" s="353">
        <f t="shared" si="0"/>
        <v>1.9874602739726028E-3</v>
      </c>
      <c r="L57" s="353"/>
      <c r="M57" s="353"/>
      <c r="N57" s="353"/>
      <c r="O57" s="353"/>
      <c r="Q57" s="352" t="s">
        <v>85</v>
      </c>
      <c r="R57" s="353">
        <f>B57/12</f>
        <v>2.3087010833333332</v>
      </c>
      <c r="S57" s="353">
        <f t="shared" ref="S57:W59" si="1">C57/12</f>
        <v>6.0451916666666668E-2</v>
      </c>
      <c r="T57" s="353"/>
      <c r="U57" s="353"/>
      <c r="V57" s="353"/>
      <c r="W57" s="353"/>
    </row>
    <row r="58" spans="1:23" s="359" customFormat="1">
      <c r="A58" s="352" t="s">
        <v>87</v>
      </c>
      <c r="B58" s="353">
        <v>20.376926999999998</v>
      </c>
      <c r="C58" s="353">
        <v>10.617621</v>
      </c>
      <c r="D58" s="353">
        <v>4.4815339999999999</v>
      </c>
      <c r="E58" s="353">
        <v>3.886333</v>
      </c>
      <c r="F58" s="353">
        <v>2.5138509999999998</v>
      </c>
      <c r="G58" s="353">
        <v>1.4422870000000001</v>
      </c>
      <c r="I58" s="352" t="s">
        <v>87</v>
      </c>
      <c r="J58" s="353">
        <f t="shared" si="0"/>
        <v>5.5827197260273971E-2</v>
      </c>
      <c r="K58" s="353">
        <f t="shared" si="0"/>
        <v>2.9089372602739725E-2</v>
      </c>
      <c r="L58" s="353">
        <f t="shared" si="0"/>
        <v>1.2278175342465752E-2</v>
      </c>
      <c r="M58" s="353">
        <f t="shared" si="0"/>
        <v>1.0647487671232877E-2</v>
      </c>
      <c r="N58" s="353">
        <f t="shared" si="0"/>
        <v>6.8872630136986293E-3</v>
      </c>
      <c r="O58" s="353">
        <f t="shared" si="0"/>
        <v>3.9514712328767125E-3</v>
      </c>
      <c r="Q58" s="352" t="s">
        <v>87</v>
      </c>
      <c r="R58" s="353">
        <f t="shared" ref="R58:R59" si="2">B58/12</f>
        <v>1.6980772499999999</v>
      </c>
      <c r="S58" s="353">
        <f t="shared" si="1"/>
        <v>0.88480174999999994</v>
      </c>
      <c r="T58" s="353">
        <f t="shared" si="1"/>
        <v>0.37346116666666668</v>
      </c>
      <c r="U58" s="353">
        <f t="shared" si="1"/>
        <v>0.32386108333333335</v>
      </c>
      <c r="V58" s="353">
        <f t="shared" si="1"/>
        <v>0.20948758333333331</v>
      </c>
      <c r="W58" s="353">
        <f t="shared" si="1"/>
        <v>0.12019058333333334</v>
      </c>
    </row>
    <row r="59" spans="1:23" s="359" customFormat="1">
      <c r="A59" s="352" t="s">
        <v>89</v>
      </c>
      <c r="B59" s="353">
        <v>29.595368000000001</v>
      </c>
      <c r="C59" s="353">
        <v>15.514709</v>
      </c>
      <c r="D59" s="353">
        <v>6.8018809999999998</v>
      </c>
      <c r="E59" s="353">
        <v>5.3938290000000002</v>
      </c>
      <c r="F59" s="353">
        <v>2.1251129999999998</v>
      </c>
      <c r="G59" s="353">
        <v>1.004181</v>
      </c>
      <c r="I59" s="352" t="s">
        <v>89</v>
      </c>
      <c r="J59" s="353">
        <f t="shared" si="0"/>
        <v>8.1083200000000008E-2</v>
      </c>
      <c r="K59" s="353">
        <f t="shared" si="0"/>
        <v>4.2506052054794519E-2</v>
      </c>
      <c r="L59" s="353">
        <f t="shared" si="0"/>
        <v>1.8635290410958905E-2</v>
      </c>
      <c r="M59" s="353">
        <f t="shared" si="0"/>
        <v>1.4777613698630138E-2</v>
      </c>
      <c r="N59" s="353">
        <f t="shared" si="0"/>
        <v>5.8222273972602734E-3</v>
      </c>
      <c r="O59" s="353">
        <f t="shared" si="0"/>
        <v>2.7511808219178083E-3</v>
      </c>
      <c r="Q59" s="352" t="s">
        <v>89</v>
      </c>
      <c r="R59" s="353">
        <f t="shared" si="2"/>
        <v>2.4662806666666666</v>
      </c>
      <c r="S59" s="353">
        <f t="shared" si="1"/>
        <v>1.2928924166666667</v>
      </c>
      <c r="T59" s="353">
        <f t="shared" si="1"/>
        <v>0.56682341666666669</v>
      </c>
      <c r="U59" s="353">
        <f t="shared" si="1"/>
        <v>0.44948575000000002</v>
      </c>
      <c r="V59" s="353">
        <f t="shared" si="1"/>
        <v>0.17709274999999999</v>
      </c>
      <c r="W59" s="353">
        <f t="shared" si="1"/>
        <v>8.3681749999999999E-2</v>
      </c>
    </row>
    <row r="60" spans="1:23" s="359" customFormat="1">
      <c r="A60" s="362"/>
      <c r="B60" s="369"/>
      <c r="C60" s="369"/>
      <c r="D60" s="369"/>
      <c r="E60" s="369"/>
      <c r="F60" s="369"/>
      <c r="G60" s="369"/>
      <c r="I60" s="362"/>
      <c r="J60" s="369"/>
      <c r="K60" s="369"/>
      <c r="L60" s="369"/>
      <c r="M60" s="369"/>
      <c r="N60" s="369"/>
      <c r="O60" s="369"/>
      <c r="Q60" s="362"/>
      <c r="R60" s="369"/>
      <c r="S60" s="369"/>
      <c r="T60" s="369"/>
      <c r="U60" s="369"/>
      <c r="V60" s="369"/>
      <c r="W60" s="369"/>
    </row>
    <row r="61" spans="1:23" s="359" customFormat="1">
      <c r="A61" s="362" t="s">
        <v>355</v>
      </c>
      <c r="B61" s="369"/>
      <c r="C61" s="369"/>
      <c r="D61" s="369"/>
      <c r="E61" s="369"/>
      <c r="F61" s="369"/>
      <c r="G61" s="369"/>
      <c r="I61" s="362" t="s">
        <v>355</v>
      </c>
      <c r="J61" s="369"/>
      <c r="K61" s="369"/>
      <c r="L61" s="369"/>
      <c r="M61" s="369"/>
      <c r="N61" s="369"/>
      <c r="O61" s="369"/>
      <c r="Q61" s="362" t="s">
        <v>355</v>
      </c>
      <c r="R61" s="369"/>
      <c r="S61" s="369"/>
      <c r="T61" s="369"/>
      <c r="U61" s="369"/>
      <c r="V61" s="369"/>
      <c r="W61" s="369"/>
    </row>
    <row r="62" spans="1:23" s="359" customFormat="1">
      <c r="A62" s="367" t="s">
        <v>357</v>
      </c>
      <c r="B62" s="367"/>
      <c r="C62" s="367"/>
      <c r="D62" s="367"/>
      <c r="E62" s="367"/>
      <c r="F62" s="367"/>
      <c r="G62" s="367"/>
      <c r="H62" s="364"/>
      <c r="I62" s="367" t="s">
        <v>358</v>
      </c>
      <c r="J62" s="367"/>
      <c r="K62" s="367"/>
      <c r="L62" s="367"/>
      <c r="M62" s="367"/>
      <c r="N62" s="367"/>
      <c r="O62" s="367"/>
      <c r="Q62" s="367" t="s">
        <v>359</v>
      </c>
      <c r="R62" s="367"/>
      <c r="S62" s="367"/>
      <c r="T62" s="367"/>
      <c r="U62" s="367"/>
      <c r="V62" s="367"/>
      <c r="W62" s="367"/>
    </row>
    <row r="63" spans="1:23" s="359" customFormat="1">
      <c r="A63" s="349" t="s">
        <v>351</v>
      </c>
      <c r="B63" s="350" t="s">
        <v>184</v>
      </c>
      <c r="C63" s="350" t="s">
        <v>35</v>
      </c>
      <c r="D63" s="350" t="s">
        <v>185</v>
      </c>
      <c r="E63" s="350" t="s">
        <v>37</v>
      </c>
      <c r="F63" s="350" t="s">
        <v>38</v>
      </c>
      <c r="G63" s="351" t="s">
        <v>39</v>
      </c>
      <c r="I63" s="349" t="s">
        <v>351</v>
      </c>
      <c r="J63" s="350" t="s">
        <v>184</v>
      </c>
      <c r="K63" s="350" t="s">
        <v>35</v>
      </c>
      <c r="L63" s="350" t="s">
        <v>185</v>
      </c>
      <c r="M63" s="350" t="s">
        <v>37</v>
      </c>
      <c r="N63" s="350" t="s">
        <v>38</v>
      </c>
      <c r="O63" s="351" t="s">
        <v>39</v>
      </c>
      <c r="Q63" s="349" t="s">
        <v>351</v>
      </c>
      <c r="R63" s="350" t="s">
        <v>184</v>
      </c>
      <c r="S63" s="350" t="s">
        <v>35</v>
      </c>
      <c r="T63" s="350" t="s">
        <v>185</v>
      </c>
      <c r="U63" s="350" t="s">
        <v>37</v>
      </c>
      <c r="V63" s="350" t="s">
        <v>38</v>
      </c>
      <c r="W63" s="351" t="s">
        <v>39</v>
      </c>
    </row>
    <row r="64" spans="1:23" s="359" customFormat="1">
      <c r="A64" s="352" t="s">
        <v>85</v>
      </c>
      <c r="B64" s="353">
        <v>27.704412999999999</v>
      </c>
      <c r="C64" s="353">
        <v>0.72542300000000004</v>
      </c>
      <c r="D64" s="353"/>
      <c r="E64" s="353"/>
      <c r="F64" s="353"/>
      <c r="G64" s="353"/>
      <c r="I64" s="352" t="s">
        <v>85</v>
      </c>
      <c r="J64" s="353">
        <f t="shared" ref="J64:O66" si="3">B64/365</f>
        <v>7.5902501369863012E-2</v>
      </c>
      <c r="K64" s="353">
        <f t="shared" si="3"/>
        <v>1.9874602739726028E-3</v>
      </c>
      <c r="L64" s="353"/>
      <c r="M64" s="353"/>
      <c r="N64" s="353"/>
      <c r="O64" s="353"/>
      <c r="Q64" s="352" t="s">
        <v>85</v>
      </c>
      <c r="R64" s="353">
        <f>B64/12</f>
        <v>2.3087010833333332</v>
      </c>
      <c r="S64" s="353">
        <f t="shared" ref="S64:W66" si="4">C64/12</f>
        <v>6.0451916666666668E-2</v>
      </c>
      <c r="T64" s="353"/>
      <c r="U64" s="353"/>
      <c r="V64" s="353"/>
      <c r="W64" s="353"/>
    </row>
    <row r="65" spans="1:23" s="359" customFormat="1">
      <c r="A65" s="352" t="s">
        <v>87</v>
      </c>
      <c r="B65" s="353">
        <v>20.376926999999998</v>
      </c>
      <c r="C65" s="353">
        <v>10.617621</v>
      </c>
      <c r="D65" s="353">
        <v>4.4815339999999999</v>
      </c>
      <c r="E65" s="353">
        <v>3.886333</v>
      </c>
      <c r="F65" s="353">
        <v>2.5138509999999998</v>
      </c>
      <c r="G65" s="353">
        <v>1.4422870000000001</v>
      </c>
      <c r="I65" s="352" t="s">
        <v>87</v>
      </c>
      <c r="J65" s="353">
        <f t="shared" si="3"/>
        <v>5.5827197260273971E-2</v>
      </c>
      <c r="K65" s="353">
        <f t="shared" si="3"/>
        <v>2.9089372602739725E-2</v>
      </c>
      <c r="L65" s="353">
        <f t="shared" si="3"/>
        <v>1.2278175342465752E-2</v>
      </c>
      <c r="M65" s="353">
        <f t="shared" si="3"/>
        <v>1.0647487671232877E-2</v>
      </c>
      <c r="N65" s="353">
        <f t="shared" si="3"/>
        <v>6.8872630136986293E-3</v>
      </c>
      <c r="O65" s="353">
        <f t="shared" si="3"/>
        <v>3.9514712328767125E-3</v>
      </c>
      <c r="Q65" s="352" t="s">
        <v>87</v>
      </c>
      <c r="R65" s="353">
        <f t="shared" ref="R65:R66" si="5">B65/12</f>
        <v>1.6980772499999999</v>
      </c>
      <c r="S65" s="353">
        <f t="shared" si="4"/>
        <v>0.88480174999999994</v>
      </c>
      <c r="T65" s="353">
        <f t="shared" si="4"/>
        <v>0.37346116666666668</v>
      </c>
      <c r="U65" s="353">
        <f t="shared" si="4"/>
        <v>0.32386108333333335</v>
      </c>
      <c r="V65" s="353">
        <f t="shared" si="4"/>
        <v>0.20948758333333331</v>
      </c>
      <c r="W65" s="353">
        <f t="shared" si="4"/>
        <v>0.12019058333333334</v>
      </c>
    </row>
    <row r="66" spans="1:23" s="359" customFormat="1">
      <c r="A66" s="352" t="s">
        <v>89</v>
      </c>
      <c r="B66" s="353">
        <v>29.595368000000001</v>
      </c>
      <c r="C66" s="353">
        <v>15.514709</v>
      </c>
      <c r="D66" s="353">
        <v>6.8018809999999998</v>
      </c>
      <c r="E66" s="353">
        <v>5.3938290000000002</v>
      </c>
      <c r="F66" s="353">
        <v>2.1251129999999998</v>
      </c>
      <c r="G66" s="353">
        <v>1.004181</v>
      </c>
      <c r="I66" s="352" t="s">
        <v>89</v>
      </c>
      <c r="J66" s="353">
        <f t="shared" si="3"/>
        <v>8.1083200000000008E-2</v>
      </c>
      <c r="K66" s="353">
        <f t="shared" si="3"/>
        <v>4.2506052054794519E-2</v>
      </c>
      <c r="L66" s="353">
        <f t="shared" si="3"/>
        <v>1.8635290410958905E-2</v>
      </c>
      <c r="M66" s="353">
        <f t="shared" si="3"/>
        <v>1.4777613698630138E-2</v>
      </c>
      <c r="N66" s="353">
        <f t="shared" si="3"/>
        <v>5.8222273972602734E-3</v>
      </c>
      <c r="O66" s="353">
        <f t="shared" si="3"/>
        <v>2.7511808219178083E-3</v>
      </c>
      <c r="Q66" s="352" t="s">
        <v>89</v>
      </c>
      <c r="R66" s="353">
        <f t="shared" si="5"/>
        <v>2.4662806666666666</v>
      </c>
      <c r="S66" s="353">
        <f t="shared" si="4"/>
        <v>1.2928924166666667</v>
      </c>
      <c r="T66" s="353">
        <f t="shared" si="4"/>
        <v>0.56682341666666669</v>
      </c>
      <c r="U66" s="353">
        <f t="shared" si="4"/>
        <v>0.44948575000000002</v>
      </c>
      <c r="V66" s="353">
        <f t="shared" si="4"/>
        <v>0.17709274999999999</v>
      </c>
      <c r="W66" s="353">
        <f t="shared" si="4"/>
        <v>8.3681749999999999E-2</v>
      </c>
    </row>
    <row r="67" spans="1:23" s="359" customFormat="1">
      <c r="A67" s="362"/>
      <c r="B67" s="369"/>
      <c r="C67" s="369"/>
      <c r="D67" s="369"/>
      <c r="E67" s="369"/>
      <c r="F67" s="369"/>
      <c r="G67" s="369"/>
      <c r="I67" s="362"/>
      <c r="J67" s="369"/>
      <c r="K67" s="369"/>
      <c r="L67" s="369"/>
      <c r="M67" s="369"/>
      <c r="N67" s="369"/>
      <c r="O67" s="369"/>
      <c r="Q67" s="362"/>
      <c r="R67" s="369"/>
      <c r="S67" s="369"/>
      <c r="T67" s="369"/>
      <c r="U67" s="369"/>
      <c r="V67" s="369"/>
      <c r="W67" s="369"/>
    </row>
    <row r="68" spans="1:23" s="359" customFormat="1">
      <c r="A68" s="362" t="s">
        <v>356</v>
      </c>
      <c r="B68" s="369"/>
      <c r="C68" s="369"/>
      <c r="D68" s="369"/>
      <c r="E68" s="369"/>
      <c r="F68" s="369"/>
      <c r="G68" s="369"/>
      <c r="I68" s="362" t="s">
        <v>356</v>
      </c>
      <c r="J68" s="369"/>
      <c r="K68" s="369"/>
      <c r="L68" s="369"/>
      <c r="M68" s="369"/>
      <c r="N68" s="369"/>
      <c r="O68" s="369"/>
      <c r="Q68" s="362" t="s">
        <v>356</v>
      </c>
      <c r="R68" s="369"/>
      <c r="S68" s="369"/>
      <c r="T68" s="369"/>
      <c r="U68" s="369"/>
      <c r="V68" s="369"/>
      <c r="W68" s="369"/>
    </row>
    <row r="69" spans="1:23" s="359" customFormat="1">
      <c r="A69" s="367" t="s">
        <v>357</v>
      </c>
      <c r="B69" s="367"/>
      <c r="C69" s="367"/>
      <c r="D69" s="367"/>
      <c r="E69" s="367"/>
      <c r="F69" s="367"/>
      <c r="G69" s="367"/>
      <c r="H69" s="364"/>
      <c r="I69" s="367" t="s">
        <v>358</v>
      </c>
      <c r="J69" s="367"/>
      <c r="K69" s="367"/>
      <c r="L69" s="367"/>
      <c r="M69" s="367"/>
      <c r="N69" s="367"/>
      <c r="O69" s="367"/>
      <c r="Q69" s="367" t="s">
        <v>359</v>
      </c>
      <c r="R69" s="367"/>
      <c r="S69" s="367"/>
      <c r="T69" s="367"/>
      <c r="U69" s="367"/>
      <c r="V69" s="367"/>
      <c r="W69" s="367"/>
    </row>
    <row r="70" spans="1:23" s="359" customFormat="1">
      <c r="A70" s="349" t="s">
        <v>351</v>
      </c>
      <c r="B70" s="350" t="s">
        <v>184</v>
      </c>
      <c r="C70" s="350" t="s">
        <v>35</v>
      </c>
      <c r="D70" s="350" t="s">
        <v>185</v>
      </c>
      <c r="E70" s="350" t="s">
        <v>37</v>
      </c>
      <c r="F70" s="350" t="s">
        <v>38</v>
      </c>
      <c r="G70" s="351" t="s">
        <v>39</v>
      </c>
      <c r="I70" s="349" t="s">
        <v>351</v>
      </c>
      <c r="J70" s="350" t="s">
        <v>184</v>
      </c>
      <c r="K70" s="350" t="s">
        <v>35</v>
      </c>
      <c r="L70" s="350" t="s">
        <v>185</v>
      </c>
      <c r="M70" s="350" t="s">
        <v>37</v>
      </c>
      <c r="N70" s="350" t="s">
        <v>38</v>
      </c>
      <c r="O70" s="351" t="s">
        <v>39</v>
      </c>
      <c r="Q70" s="349" t="s">
        <v>351</v>
      </c>
      <c r="R70" s="350" t="s">
        <v>184</v>
      </c>
      <c r="S70" s="350" t="s">
        <v>35</v>
      </c>
      <c r="T70" s="350" t="s">
        <v>185</v>
      </c>
      <c r="U70" s="350" t="s">
        <v>37</v>
      </c>
      <c r="V70" s="350" t="s">
        <v>38</v>
      </c>
      <c r="W70" s="351" t="s">
        <v>39</v>
      </c>
    </row>
    <row r="71" spans="1:23" s="359" customFormat="1">
      <c r="A71" s="352" t="s">
        <v>85</v>
      </c>
      <c r="B71" s="353">
        <v>27.704412999999999</v>
      </c>
      <c r="C71" s="353">
        <v>0.72542300000000004</v>
      </c>
      <c r="D71" s="353"/>
      <c r="E71" s="353"/>
      <c r="F71" s="353"/>
      <c r="G71" s="353"/>
      <c r="I71" s="352" t="s">
        <v>85</v>
      </c>
      <c r="J71" s="353">
        <f t="shared" ref="J71:O73" si="6">B71/365</f>
        <v>7.5902501369863012E-2</v>
      </c>
      <c r="K71" s="353">
        <f t="shared" si="6"/>
        <v>1.9874602739726028E-3</v>
      </c>
      <c r="L71" s="353"/>
      <c r="M71" s="353"/>
      <c r="N71" s="353"/>
      <c r="O71" s="353"/>
      <c r="Q71" s="352" t="s">
        <v>85</v>
      </c>
      <c r="R71" s="353">
        <f>B71/12</f>
        <v>2.3087010833333332</v>
      </c>
      <c r="S71" s="353">
        <f t="shared" ref="S71:W73" si="7">C71/12</f>
        <v>6.0451916666666668E-2</v>
      </c>
      <c r="T71" s="353"/>
      <c r="U71" s="353"/>
      <c r="V71" s="353"/>
      <c r="W71" s="353"/>
    </row>
    <row r="72" spans="1:23" s="359" customFormat="1">
      <c r="A72" s="352" t="s">
        <v>87</v>
      </c>
      <c r="B72" s="353">
        <v>20.376926999999998</v>
      </c>
      <c r="C72" s="353">
        <v>10.617621</v>
      </c>
      <c r="D72" s="353">
        <v>4.4815339999999999</v>
      </c>
      <c r="E72" s="353">
        <v>3.886333</v>
      </c>
      <c r="F72" s="353">
        <v>2.5138509999999998</v>
      </c>
      <c r="G72" s="353">
        <v>1.4422870000000001</v>
      </c>
      <c r="I72" s="352" t="s">
        <v>87</v>
      </c>
      <c r="J72" s="353">
        <f t="shared" si="6"/>
        <v>5.5827197260273971E-2</v>
      </c>
      <c r="K72" s="353">
        <f t="shared" si="6"/>
        <v>2.9089372602739725E-2</v>
      </c>
      <c r="L72" s="353">
        <f t="shared" si="6"/>
        <v>1.2278175342465752E-2</v>
      </c>
      <c r="M72" s="353">
        <f t="shared" si="6"/>
        <v>1.0647487671232877E-2</v>
      </c>
      <c r="N72" s="353">
        <f t="shared" si="6"/>
        <v>6.8872630136986293E-3</v>
      </c>
      <c r="O72" s="353">
        <f t="shared" si="6"/>
        <v>3.9514712328767125E-3</v>
      </c>
      <c r="Q72" s="352" t="s">
        <v>87</v>
      </c>
      <c r="R72" s="353">
        <f t="shared" ref="R72:R73" si="8">B72/12</f>
        <v>1.6980772499999999</v>
      </c>
      <c r="S72" s="353">
        <f t="shared" si="7"/>
        <v>0.88480174999999994</v>
      </c>
      <c r="T72" s="353">
        <f t="shared" si="7"/>
        <v>0.37346116666666668</v>
      </c>
      <c r="U72" s="353">
        <f t="shared" si="7"/>
        <v>0.32386108333333335</v>
      </c>
      <c r="V72" s="353">
        <f t="shared" si="7"/>
        <v>0.20948758333333331</v>
      </c>
      <c r="W72" s="353">
        <f t="shared" si="7"/>
        <v>0.12019058333333334</v>
      </c>
    </row>
    <row r="73" spans="1:23" s="359" customFormat="1">
      <c r="A73" s="352" t="s">
        <v>89</v>
      </c>
      <c r="B73" s="353">
        <v>29.595368000000001</v>
      </c>
      <c r="C73" s="353">
        <v>15.514709</v>
      </c>
      <c r="D73" s="353">
        <v>6.8018809999999998</v>
      </c>
      <c r="E73" s="353">
        <v>5.3938290000000002</v>
      </c>
      <c r="F73" s="353">
        <v>2.1251129999999998</v>
      </c>
      <c r="G73" s="353">
        <v>1.004181</v>
      </c>
      <c r="I73" s="352" t="s">
        <v>89</v>
      </c>
      <c r="J73" s="353">
        <f t="shared" si="6"/>
        <v>8.1083200000000008E-2</v>
      </c>
      <c r="K73" s="353">
        <f t="shared" si="6"/>
        <v>4.2506052054794519E-2</v>
      </c>
      <c r="L73" s="353">
        <f t="shared" si="6"/>
        <v>1.8635290410958905E-2</v>
      </c>
      <c r="M73" s="353">
        <f t="shared" si="6"/>
        <v>1.4777613698630138E-2</v>
      </c>
      <c r="N73" s="353">
        <f t="shared" si="6"/>
        <v>5.8222273972602734E-3</v>
      </c>
      <c r="O73" s="353">
        <f t="shared" si="6"/>
        <v>2.7511808219178083E-3</v>
      </c>
      <c r="Q73" s="352" t="s">
        <v>89</v>
      </c>
      <c r="R73" s="353">
        <f t="shared" si="8"/>
        <v>2.4662806666666666</v>
      </c>
      <c r="S73" s="353">
        <f t="shared" si="7"/>
        <v>1.2928924166666667</v>
      </c>
      <c r="T73" s="353">
        <f t="shared" si="7"/>
        <v>0.56682341666666669</v>
      </c>
      <c r="U73" s="353">
        <f t="shared" si="7"/>
        <v>0.44948575000000002</v>
      </c>
      <c r="V73" s="353">
        <f t="shared" si="7"/>
        <v>0.17709274999999999</v>
      </c>
      <c r="W73" s="353">
        <f t="shared" si="7"/>
        <v>8.3681749999999999E-2</v>
      </c>
    </row>
    <row r="74" spans="1:23" s="359" customFormat="1">
      <c r="A74" s="357"/>
    </row>
    <row r="75" spans="1:23" s="358" customFormat="1"/>
    <row r="76" spans="1:23" s="359" customFormat="1"/>
    <row r="77" spans="1:23" s="359" customFormat="1"/>
    <row r="78" spans="1:23" s="359" customFormat="1" ht="26.25">
      <c r="K78" s="360" t="s">
        <v>360</v>
      </c>
    </row>
    <row r="79" spans="1:23" s="359" customFormat="1"/>
    <row r="80" spans="1:23" s="359" customFormat="1"/>
    <row r="81" spans="1:23" s="359" customFormat="1" ht="15.75">
      <c r="A81" s="361" t="s">
        <v>346</v>
      </c>
      <c r="I81" s="361" t="s">
        <v>347</v>
      </c>
      <c r="Q81" s="361" t="s">
        <v>348</v>
      </c>
    </row>
    <row r="82" spans="1:23" s="359" customFormat="1"/>
    <row r="83" spans="1:23" s="359" customFormat="1" ht="14.25" customHeight="1">
      <c r="A83" s="362" t="s">
        <v>349</v>
      </c>
      <c r="B83" s="363" t="s">
        <v>350</v>
      </c>
      <c r="C83" s="363"/>
      <c r="D83" s="363"/>
      <c r="E83" s="363"/>
      <c r="F83" s="363"/>
      <c r="G83" s="363"/>
      <c r="H83" s="364"/>
      <c r="I83" s="362" t="s">
        <v>349</v>
      </c>
      <c r="J83" s="363" t="s">
        <v>350</v>
      </c>
      <c r="K83" s="363"/>
      <c r="L83" s="363"/>
      <c r="M83" s="363"/>
      <c r="N83" s="363"/>
      <c r="O83" s="363"/>
      <c r="Q83" s="362" t="s">
        <v>349</v>
      </c>
      <c r="R83" s="363" t="s">
        <v>350</v>
      </c>
      <c r="S83" s="363"/>
      <c r="T83" s="363"/>
      <c r="U83" s="363"/>
      <c r="V83" s="363"/>
      <c r="W83" s="363"/>
    </row>
    <row r="84" spans="1:23" s="359" customFormat="1">
      <c r="A84" s="349" t="s">
        <v>351</v>
      </c>
      <c r="B84" s="350" t="s">
        <v>184</v>
      </c>
      <c r="C84" s="350" t="s">
        <v>35</v>
      </c>
      <c r="D84" s="350" t="s">
        <v>185</v>
      </c>
      <c r="E84" s="350" t="s">
        <v>37</v>
      </c>
      <c r="F84" s="350" t="s">
        <v>38</v>
      </c>
      <c r="G84" s="351" t="s">
        <v>39</v>
      </c>
      <c r="I84" s="349" t="s">
        <v>351</v>
      </c>
      <c r="J84" s="350" t="s">
        <v>184</v>
      </c>
      <c r="K84" s="350" t="s">
        <v>35</v>
      </c>
      <c r="L84" s="350" t="s">
        <v>185</v>
      </c>
      <c r="M84" s="350" t="s">
        <v>37</v>
      </c>
      <c r="N84" s="350" t="s">
        <v>38</v>
      </c>
      <c r="O84" s="351" t="s">
        <v>39</v>
      </c>
      <c r="Q84" s="349" t="s">
        <v>351</v>
      </c>
      <c r="R84" s="350" t="s">
        <v>184</v>
      </c>
      <c r="S84" s="350" t="s">
        <v>35</v>
      </c>
      <c r="T84" s="350" t="s">
        <v>185</v>
      </c>
      <c r="U84" s="350" t="s">
        <v>37</v>
      </c>
      <c r="V84" s="350" t="s">
        <v>38</v>
      </c>
      <c r="W84" s="351" t="s">
        <v>39</v>
      </c>
    </row>
    <row r="85" spans="1:23" s="359" customFormat="1">
      <c r="A85" s="352" t="s">
        <v>85</v>
      </c>
      <c r="B85" s="353">
        <v>0.21487000000000001</v>
      </c>
      <c r="C85" s="353">
        <v>0.143925</v>
      </c>
      <c r="D85" s="353">
        <v>0.116962</v>
      </c>
      <c r="E85" s="353"/>
      <c r="F85" s="353"/>
      <c r="G85" s="353"/>
      <c r="I85" s="352" t="s">
        <v>85</v>
      </c>
      <c r="J85" s="353">
        <v>0.20961099999999999</v>
      </c>
      <c r="K85" s="353">
        <v>0.13866600000000001</v>
      </c>
      <c r="L85" s="353">
        <v>0.111704</v>
      </c>
      <c r="M85" s="353"/>
      <c r="N85" s="353"/>
      <c r="O85" s="353"/>
      <c r="Q85" s="352" t="s">
        <v>85</v>
      </c>
      <c r="R85" s="353">
        <v>0.20500199999999999</v>
      </c>
      <c r="S85" s="353">
        <v>0.13405700000000001</v>
      </c>
      <c r="T85" s="353">
        <v>0.10709399999999999</v>
      </c>
      <c r="U85" s="353"/>
      <c r="V85" s="353"/>
      <c r="W85" s="353"/>
    </row>
    <row r="86" spans="1:23" s="359" customFormat="1" ht="14.25" customHeight="1">
      <c r="A86" s="352" t="s">
        <v>87</v>
      </c>
      <c r="B86" s="353">
        <v>0.19148499999999999</v>
      </c>
      <c r="C86" s="353">
        <v>0.16190099999999999</v>
      </c>
      <c r="D86" s="353">
        <v>0.12998399999999999</v>
      </c>
      <c r="E86" s="353">
        <v>0.108902</v>
      </c>
      <c r="F86" s="353">
        <v>9.5605999999999997E-2</v>
      </c>
      <c r="G86" s="353">
        <v>0.114049</v>
      </c>
      <c r="I86" s="352" t="s">
        <v>87</v>
      </c>
      <c r="J86" s="353">
        <v>0.18647</v>
      </c>
      <c r="K86" s="353">
        <v>0.156886</v>
      </c>
      <c r="L86" s="353">
        <v>0.124969</v>
      </c>
      <c r="M86" s="353">
        <v>0.10388699999999999</v>
      </c>
      <c r="N86" s="353">
        <v>9.0591000000000005E-2</v>
      </c>
      <c r="O86" s="353">
        <v>0.10903400000000001</v>
      </c>
      <c r="Q86" s="352" t="s">
        <v>87</v>
      </c>
      <c r="R86" s="353">
        <v>0.182256</v>
      </c>
      <c r="S86" s="353">
        <v>0.152673</v>
      </c>
      <c r="T86" s="353">
        <v>0.120755</v>
      </c>
      <c r="U86" s="353">
        <v>9.9673999999999999E-2</v>
      </c>
      <c r="V86" s="353">
        <v>8.6377999999999996E-2</v>
      </c>
      <c r="W86" s="353">
        <v>0.10482</v>
      </c>
    </row>
    <row r="87" spans="1:23" s="359" customFormat="1">
      <c r="A87" s="352" t="s">
        <v>89</v>
      </c>
      <c r="B87" s="353">
        <v>0.16271099999999999</v>
      </c>
      <c r="C87" s="353">
        <v>0.13974500000000001</v>
      </c>
      <c r="D87" s="353">
        <v>0.11548899999999999</v>
      </c>
      <c r="E87" s="353">
        <v>9.9561999999999998E-2</v>
      </c>
      <c r="F87" s="353">
        <v>8.8371000000000005E-2</v>
      </c>
      <c r="G87" s="353">
        <v>0.109335</v>
      </c>
      <c r="I87" s="352" t="s">
        <v>89</v>
      </c>
      <c r="J87" s="353">
        <v>0.15865099999999999</v>
      </c>
      <c r="K87" s="353">
        <v>0.135684</v>
      </c>
      <c r="L87" s="353">
        <v>0.111428</v>
      </c>
      <c r="M87" s="353">
        <v>9.5501000000000003E-2</v>
      </c>
      <c r="N87" s="353">
        <v>8.4309999999999996E-2</v>
      </c>
      <c r="O87" s="353">
        <v>0.10527499999999999</v>
      </c>
      <c r="Q87" s="352" t="s">
        <v>89</v>
      </c>
      <c r="R87" s="353">
        <v>0.15446799999999999</v>
      </c>
      <c r="S87" s="353">
        <v>0.13150200000000001</v>
      </c>
      <c r="T87" s="353">
        <v>0.10724599999999999</v>
      </c>
      <c r="U87" s="353">
        <v>9.1317999999999996E-2</v>
      </c>
      <c r="V87" s="353">
        <v>8.0127000000000004E-2</v>
      </c>
      <c r="W87" s="353">
        <v>0.101092</v>
      </c>
    </row>
    <row r="88" spans="1:23" s="359" customFormat="1">
      <c r="A88" s="362"/>
      <c r="B88" s="365"/>
      <c r="C88" s="365"/>
      <c r="D88" s="365"/>
      <c r="E88" s="365"/>
      <c r="F88" s="365"/>
      <c r="G88" s="365"/>
      <c r="I88" s="362"/>
      <c r="J88" s="365"/>
      <c r="K88" s="365"/>
      <c r="L88" s="365"/>
      <c r="M88" s="365"/>
      <c r="N88" s="365"/>
      <c r="O88" s="365"/>
      <c r="Q88" s="362"/>
      <c r="R88" s="365"/>
      <c r="S88" s="365"/>
      <c r="T88" s="365"/>
      <c r="U88" s="365"/>
      <c r="V88" s="365"/>
      <c r="W88" s="365"/>
    </row>
    <row r="89" spans="1:23" s="359" customFormat="1">
      <c r="B89" s="365"/>
      <c r="C89" s="365"/>
      <c r="D89" s="365"/>
      <c r="E89" s="365"/>
      <c r="F89" s="365"/>
      <c r="G89" s="365"/>
      <c r="J89" s="365"/>
      <c r="K89" s="365"/>
      <c r="L89" s="365"/>
      <c r="M89" s="365"/>
      <c r="N89" s="365"/>
      <c r="O89" s="365"/>
      <c r="R89" s="365"/>
      <c r="S89" s="365"/>
      <c r="T89" s="365"/>
      <c r="U89" s="365"/>
      <c r="V89" s="365"/>
      <c r="W89" s="365"/>
    </row>
    <row r="90" spans="1:23" s="359" customFormat="1" ht="14.25" customHeight="1">
      <c r="A90" s="362" t="s">
        <v>355</v>
      </c>
      <c r="B90" s="363" t="s">
        <v>350</v>
      </c>
      <c r="C90" s="363"/>
      <c r="D90" s="363"/>
      <c r="E90" s="363"/>
      <c r="F90" s="363"/>
      <c r="G90" s="363"/>
      <c r="I90" s="362" t="s">
        <v>355</v>
      </c>
      <c r="J90" s="363" t="s">
        <v>350</v>
      </c>
      <c r="K90" s="363"/>
      <c r="L90" s="363"/>
      <c r="M90" s="363"/>
      <c r="N90" s="363"/>
      <c r="O90" s="363"/>
      <c r="Q90" s="362" t="s">
        <v>355</v>
      </c>
      <c r="R90" s="363" t="s">
        <v>350</v>
      </c>
      <c r="S90" s="363"/>
      <c r="T90" s="363"/>
      <c r="U90" s="363"/>
      <c r="V90" s="363"/>
      <c r="W90" s="363"/>
    </row>
    <row r="91" spans="1:23" s="359" customFormat="1">
      <c r="A91" s="349" t="s">
        <v>351</v>
      </c>
      <c r="B91" s="350" t="s">
        <v>184</v>
      </c>
      <c r="C91" s="350" t="s">
        <v>35</v>
      </c>
      <c r="D91" s="350" t="s">
        <v>185</v>
      </c>
      <c r="E91" s="350" t="s">
        <v>37</v>
      </c>
      <c r="F91" s="350" t="s">
        <v>38</v>
      </c>
      <c r="G91" s="351" t="s">
        <v>39</v>
      </c>
      <c r="I91" s="349" t="s">
        <v>351</v>
      </c>
      <c r="J91" s="350" t="s">
        <v>184</v>
      </c>
      <c r="K91" s="350" t="s">
        <v>35</v>
      </c>
      <c r="L91" s="350" t="s">
        <v>185</v>
      </c>
      <c r="M91" s="350" t="s">
        <v>37</v>
      </c>
      <c r="N91" s="350" t="s">
        <v>38</v>
      </c>
      <c r="O91" s="351" t="s">
        <v>39</v>
      </c>
      <c r="Q91" s="349" t="s">
        <v>351</v>
      </c>
      <c r="R91" s="350" t="s">
        <v>184</v>
      </c>
      <c r="S91" s="350" t="s">
        <v>35</v>
      </c>
      <c r="T91" s="350" t="s">
        <v>185</v>
      </c>
      <c r="U91" s="350" t="s">
        <v>37</v>
      </c>
      <c r="V91" s="350" t="s">
        <v>38</v>
      </c>
      <c r="W91" s="351" t="s">
        <v>39</v>
      </c>
    </row>
    <row r="92" spans="1:23" s="359" customFormat="1">
      <c r="A92" s="352" t="s">
        <v>85</v>
      </c>
      <c r="B92" s="353">
        <v>0.21736</v>
      </c>
      <c r="C92" s="353">
        <v>0.14319000000000001</v>
      </c>
      <c r="D92" s="353">
        <v>0.113265</v>
      </c>
      <c r="E92" s="353"/>
      <c r="F92" s="353"/>
      <c r="G92" s="353"/>
      <c r="I92" s="352" t="s">
        <v>85</v>
      </c>
      <c r="J92" s="353">
        <v>0.21210100000000001</v>
      </c>
      <c r="K92" s="353">
        <v>0.137931</v>
      </c>
      <c r="L92" s="353">
        <v>0.108006</v>
      </c>
      <c r="M92" s="353"/>
      <c r="N92" s="353"/>
      <c r="O92" s="353"/>
      <c r="Q92" s="352" t="s">
        <v>85</v>
      </c>
      <c r="R92" s="353">
        <v>0.20749200000000001</v>
      </c>
      <c r="S92" s="353">
        <v>0.133322</v>
      </c>
      <c r="T92" s="353">
        <v>0.103397</v>
      </c>
      <c r="U92" s="353"/>
      <c r="V92" s="353"/>
      <c r="W92" s="353"/>
    </row>
    <row r="93" spans="1:23" s="359" customFormat="1" ht="14.25" customHeight="1">
      <c r="A93" s="352" t="s">
        <v>87</v>
      </c>
      <c r="B93" s="353">
        <v>0.16644600000000001</v>
      </c>
      <c r="C93" s="353">
        <v>0.15088699999999999</v>
      </c>
      <c r="D93" s="353">
        <v>0.14027400000000001</v>
      </c>
      <c r="E93" s="353">
        <v>0.12746399999999999</v>
      </c>
      <c r="F93" s="353">
        <v>0.115353</v>
      </c>
      <c r="G93" s="353">
        <v>0.114644</v>
      </c>
      <c r="I93" s="352" t="s">
        <v>87</v>
      </c>
      <c r="J93" s="353">
        <v>0.16142999999999999</v>
      </c>
      <c r="K93" s="353">
        <v>0.145872</v>
      </c>
      <c r="L93" s="353">
        <v>0.13525799999999999</v>
      </c>
      <c r="M93" s="353">
        <v>0.122448</v>
      </c>
      <c r="N93" s="353">
        <v>0.110337</v>
      </c>
      <c r="O93" s="353">
        <v>0.109629</v>
      </c>
      <c r="Q93" s="352" t="s">
        <v>87</v>
      </c>
      <c r="R93" s="353">
        <v>0.157217</v>
      </c>
      <c r="S93" s="353">
        <v>0.14165900000000001</v>
      </c>
      <c r="T93" s="353">
        <v>0.13104499999999999</v>
      </c>
      <c r="U93" s="353">
        <v>0.11823500000000001</v>
      </c>
      <c r="V93" s="353">
        <v>0.106124</v>
      </c>
      <c r="W93" s="353">
        <v>0.105416</v>
      </c>
    </row>
    <row r="94" spans="1:23" s="359" customFormat="1">
      <c r="A94" s="352" t="s">
        <v>89</v>
      </c>
      <c r="B94" s="353">
        <v>0.13948199999999999</v>
      </c>
      <c r="C94" s="353">
        <v>0.128467</v>
      </c>
      <c r="D94" s="353">
        <v>0.124796</v>
      </c>
      <c r="E94" s="353">
        <v>0.115048</v>
      </c>
      <c r="F94" s="353">
        <v>0.104133</v>
      </c>
      <c r="G94" s="353">
        <v>0.103897</v>
      </c>
      <c r="I94" s="352" t="s">
        <v>89</v>
      </c>
      <c r="J94" s="353">
        <v>0.13542100000000001</v>
      </c>
      <c r="K94" s="353">
        <v>0.124406</v>
      </c>
      <c r="L94" s="353">
        <v>0.120735</v>
      </c>
      <c r="M94" s="353">
        <v>0.110987</v>
      </c>
      <c r="N94" s="353">
        <v>0.10007199999999999</v>
      </c>
      <c r="O94" s="353">
        <v>9.9836999999999995E-2</v>
      </c>
      <c r="Q94" s="352" t="s">
        <v>89</v>
      </c>
      <c r="R94" s="353">
        <v>0.13123799999999999</v>
      </c>
      <c r="S94" s="353">
        <v>0.120223</v>
      </c>
      <c r="T94" s="353">
        <v>0.116552</v>
      </c>
      <c r="U94" s="353">
        <v>0.106804</v>
      </c>
      <c r="V94" s="353">
        <v>9.5890000000000003E-2</v>
      </c>
      <c r="W94" s="353">
        <v>9.5654000000000003E-2</v>
      </c>
    </row>
    <row r="95" spans="1:23" s="359" customFormat="1">
      <c r="A95" s="362"/>
      <c r="B95" s="365"/>
      <c r="C95" s="365"/>
      <c r="D95" s="365"/>
      <c r="E95" s="365"/>
      <c r="F95" s="365"/>
      <c r="G95" s="365"/>
      <c r="I95" s="362"/>
      <c r="J95" s="365"/>
      <c r="K95" s="365"/>
      <c r="L95" s="365"/>
      <c r="M95" s="365"/>
      <c r="N95" s="365"/>
      <c r="O95" s="365"/>
      <c r="Q95" s="362"/>
      <c r="R95" s="365"/>
      <c r="S95" s="365"/>
      <c r="T95" s="365"/>
      <c r="U95" s="365"/>
      <c r="V95" s="365"/>
      <c r="W95" s="365"/>
    </row>
    <row r="96" spans="1:23" s="359" customFormat="1">
      <c r="B96" s="365"/>
      <c r="C96" s="365"/>
      <c r="D96" s="365"/>
      <c r="E96" s="365"/>
      <c r="F96" s="365"/>
      <c r="G96" s="365"/>
      <c r="J96" s="365"/>
      <c r="K96" s="365"/>
      <c r="L96" s="365"/>
      <c r="M96" s="365"/>
      <c r="N96" s="365"/>
      <c r="O96" s="365"/>
      <c r="R96" s="365"/>
      <c r="S96" s="365"/>
      <c r="T96" s="365"/>
      <c r="U96" s="365"/>
      <c r="V96" s="365"/>
      <c r="W96" s="365"/>
    </row>
    <row r="97" spans="1:23" s="359" customFormat="1" ht="14.25" customHeight="1">
      <c r="A97" s="362" t="s">
        <v>356</v>
      </c>
      <c r="B97" s="363" t="s">
        <v>350</v>
      </c>
      <c r="C97" s="363"/>
      <c r="D97" s="363"/>
      <c r="E97" s="363"/>
      <c r="F97" s="363"/>
      <c r="G97" s="363"/>
      <c r="I97" s="362" t="s">
        <v>356</v>
      </c>
      <c r="J97" s="363" t="s">
        <v>350</v>
      </c>
      <c r="K97" s="363"/>
      <c r="L97" s="363"/>
      <c r="M97" s="363"/>
      <c r="N97" s="363"/>
      <c r="O97" s="363"/>
      <c r="Q97" s="362" t="s">
        <v>356</v>
      </c>
      <c r="R97" s="363" t="s">
        <v>350</v>
      </c>
      <c r="S97" s="363"/>
      <c r="T97" s="363"/>
      <c r="U97" s="363"/>
      <c r="V97" s="363"/>
      <c r="W97" s="363"/>
    </row>
    <row r="98" spans="1:23" s="359" customFormat="1">
      <c r="A98" s="349" t="s">
        <v>351</v>
      </c>
      <c r="B98" s="350" t="s">
        <v>184</v>
      </c>
      <c r="C98" s="350" t="s">
        <v>35</v>
      </c>
      <c r="D98" s="350" t="s">
        <v>185</v>
      </c>
      <c r="E98" s="350" t="s">
        <v>37</v>
      </c>
      <c r="F98" s="350" t="s">
        <v>38</v>
      </c>
      <c r="G98" s="351" t="s">
        <v>39</v>
      </c>
      <c r="I98" s="349" t="s">
        <v>351</v>
      </c>
      <c r="J98" s="350" t="s">
        <v>184</v>
      </c>
      <c r="K98" s="350" t="s">
        <v>35</v>
      </c>
      <c r="L98" s="350" t="s">
        <v>185</v>
      </c>
      <c r="M98" s="350" t="s">
        <v>37</v>
      </c>
      <c r="N98" s="350" t="s">
        <v>38</v>
      </c>
      <c r="O98" s="351" t="s">
        <v>39</v>
      </c>
      <c r="Q98" s="349" t="s">
        <v>351</v>
      </c>
      <c r="R98" s="350" t="s">
        <v>184</v>
      </c>
      <c r="S98" s="350" t="s">
        <v>35</v>
      </c>
      <c r="T98" s="350" t="s">
        <v>185</v>
      </c>
      <c r="U98" s="350" t="s">
        <v>37</v>
      </c>
      <c r="V98" s="350" t="s">
        <v>38</v>
      </c>
      <c r="W98" s="351" t="s">
        <v>39</v>
      </c>
    </row>
    <row r="99" spans="1:23" s="359" customFormat="1">
      <c r="A99" s="352" t="s">
        <v>85</v>
      </c>
      <c r="B99" s="353">
        <v>0.21736</v>
      </c>
      <c r="C99" s="353">
        <v>0.14319000000000001</v>
      </c>
      <c r="D99" s="353">
        <v>0.113265</v>
      </c>
      <c r="E99" s="353"/>
      <c r="F99" s="353"/>
      <c r="G99" s="353"/>
      <c r="I99" s="352" t="s">
        <v>85</v>
      </c>
      <c r="J99" s="353">
        <v>0.21210100000000001</v>
      </c>
      <c r="K99" s="353">
        <v>0.137931</v>
      </c>
      <c r="L99" s="353">
        <v>0.108006</v>
      </c>
      <c r="M99" s="353"/>
      <c r="N99" s="353"/>
      <c r="O99" s="353"/>
      <c r="Q99" s="352" t="s">
        <v>85</v>
      </c>
      <c r="R99" s="353">
        <v>0.20749200000000001</v>
      </c>
      <c r="S99" s="353">
        <v>0.133322</v>
      </c>
      <c r="T99" s="353">
        <v>0.103397</v>
      </c>
      <c r="U99" s="353"/>
      <c r="V99" s="353"/>
      <c r="W99" s="353"/>
    </row>
    <row r="100" spans="1:23" s="359" customFormat="1" ht="14.25" customHeight="1">
      <c r="A100" s="352" t="s">
        <v>87</v>
      </c>
      <c r="B100" s="353">
        <v>0.17524200000000001</v>
      </c>
      <c r="C100" s="353">
        <v>0.16425899999999999</v>
      </c>
      <c r="D100" s="353">
        <v>0.14806900000000001</v>
      </c>
      <c r="E100" s="353">
        <v>0.10728500000000001</v>
      </c>
      <c r="F100" s="353">
        <v>9.4371999999999998E-2</v>
      </c>
      <c r="G100" s="353">
        <v>0.114644</v>
      </c>
      <c r="I100" s="352" t="s">
        <v>87</v>
      </c>
      <c r="J100" s="353">
        <v>0.17022699999999999</v>
      </c>
      <c r="K100" s="353">
        <v>0.159244</v>
      </c>
      <c r="L100" s="353">
        <v>0.14305300000000001</v>
      </c>
      <c r="M100" s="353">
        <v>0.102269</v>
      </c>
      <c r="N100" s="353">
        <v>8.9357000000000006E-2</v>
      </c>
      <c r="O100" s="353">
        <v>0.109629</v>
      </c>
      <c r="Q100" s="352" t="s">
        <v>87</v>
      </c>
      <c r="R100" s="353">
        <v>0.16601299999999999</v>
      </c>
      <c r="S100" s="353">
        <v>0.15503</v>
      </c>
      <c r="T100" s="353">
        <v>0.13883999999999999</v>
      </c>
      <c r="U100" s="353">
        <v>9.8056000000000004E-2</v>
      </c>
      <c r="V100" s="353">
        <v>8.5143999999999997E-2</v>
      </c>
      <c r="W100" s="353">
        <v>0.105416</v>
      </c>
    </row>
    <row r="101" spans="1:23" s="359" customFormat="1">
      <c r="A101" s="352" t="s">
        <v>89</v>
      </c>
      <c r="B101" s="353">
        <v>0.14741599999999999</v>
      </c>
      <c r="C101" s="353">
        <v>0.14055300000000001</v>
      </c>
      <c r="D101" s="353">
        <v>0.13198599999999999</v>
      </c>
      <c r="E101" s="353">
        <v>9.6536999999999998E-2</v>
      </c>
      <c r="F101" s="353">
        <v>8.4983000000000003E-2</v>
      </c>
      <c r="G101" s="353">
        <v>0.103897</v>
      </c>
      <c r="I101" s="352" t="s">
        <v>89</v>
      </c>
      <c r="J101" s="353">
        <v>0.14335500000000001</v>
      </c>
      <c r="K101" s="353">
        <v>0.136492</v>
      </c>
      <c r="L101" s="353">
        <v>0.12792500000000001</v>
      </c>
      <c r="M101" s="353">
        <v>9.2476000000000003E-2</v>
      </c>
      <c r="N101" s="353">
        <v>8.0921999999999994E-2</v>
      </c>
      <c r="O101" s="353">
        <v>9.9836999999999995E-2</v>
      </c>
      <c r="Q101" s="352" t="s">
        <v>89</v>
      </c>
      <c r="R101" s="353">
        <v>0.13917299999999999</v>
      </c>
      <c r="S101" s="353">
        <v>0.13231000000000001</v>
      </c>
      <c r="T101" s="353">
        <v>0.123742</v>
      </c>
      <c r="U101" s="353">
        <v>8.8292999999999996E-2</v>
      </c>
      <c r="V101" s="353">
        <v>7.6739000000000002E-2</v>
      </c>
      <c r="W101" s="353">
        <v>9.5654000000000003E-2</v>
      </c>
    </row>
    <row r="102" spans="1:23" s="359" customFormat="1"/>
    <row r="103" spans="1:23" s="359" customFormat="1"/>
    <row r="104" spans="1:23" s="359" customFormat="1" ht="15.75">
      <c r="I104" s="366" t="s">
        <v>352</v>
      </c>
      <c r="J104" s="366"/>
      <c r="K104" s="366"/>
      <c r="L104" s="366"/>
      <c r="M104" s="366"/>
      <c r="N104" s="366"/>
      <c r="O104" s="366"/>
      <c r="P104" s="366"/>
    </row>
    <row r="105" spans="1:23" s="359" customFormat="1"/>
    <row r="106" spans="1:23" s="359" customFormat="1">
      <c r="A106" s="362" t="s">
        <v>349</v>
      </c>
      <c r="I106" s="362" t="s">
        <v>349</v>
      </c>
      <c r="Q106" s="362" t="s">
        <v>349</v>
      </c>
    </row>
    <row r="107" spans="1:23" s="359" customFormat="1" ht="14.25" customHeight="1">
      <c r="A107" s="367" t="s">
        <v>357</v>
      </c>
      <c r="B107" s="367"/>
      <c r="C107" s="367"/>
      <c r="D107" s="367"/>
      <c r="E107" s="367"/>
      <c r="F107" s="367"/>
      <c r="G107" s="367"/>
      <c r="H107" s="368"/>
      <c r="I107" s="367" t="s">
        <v>357</v>
      </c>
      <c r="J107" s="367"/>
      <c r="K107" s="367"/>
      <c r="L107" s="367"/>
      <c r="M107" s="367"/>
      <c r="N107" s="367"/>
      <c r="O107" s="367"/>
      <c r="Q107" s="367" t="s">
        <v>357</v>
      </c>
      <c r="R107" s="367"/>
      <c r="S107" s="367"/>
      <c r="T107" s="367"/>
      <c r="U107" s="367"/>
      <c r="V107" s="367"/>
      <c r="W107" s="367"/>
    </row>
    <row r="108" spans="1:23" s="359" customFormat="1">
      <c r="A108" s="349" t="s">
        <v>351</v>
      </c>
      <c r="B108" s="350" t="s">
        <v>184</v>
      </c>
      <c r="C108" s="350" t="s">
        <v>35</v>
      </c>
      <c r="D108" s="350" t="s">
        <v>185</v>
      </c>
      <c r="E108" s="350" t="s">
        <v>37</v>
      </c>
      <c r="F108" s="350" t="s">
        <v>38</v>
      </c>
      <c r="G108" s="351" t="s">
        <v>39</v>
      </c>
      <c r="I108" s="349" t="s">
        <v>351</v>
      </c>
      <c r="J108" s="350" t="s">
        <v>184</v>
      </c>
      <c r="K108" s="350" t="s">
        <v>35</v>
      </c>
      <c r="L108" s="350" t="s">
        <v>185</v>
      </c>
      <c r="M108" s="350" t="s">
        <v>37</v>
      </c>
      <c r="N108" s="350" t="s">
        <v>38</v>
      </c>
      <c r="O108" s="351" t="s">
        <v>39</v>
      </c>
      <c r="Q108" s="349" t="s">
        <v>351</v>
      </c>
      <c r="R108" s="350" t="s">
        <v>184</v>
      </c>
      <c r="S108" s="350" t="s">
        <v>35</v>
      </c>
      <c r="T108" s="350" t="s">
        <v>185</v>
      </c>
      <c r="U108" s="350" t="s">
        <v>37</v>
      </c>
      <c r="V108" s="350" t="s">
        <v>38</v>
      </c>
      <c r="W108" s="351" t="s">
        <v>39</v>
      </c>
    </row>
    <row r="109" spans="1:23" s="359" customFormat="1">
      <c r="A109" s="352" t="s">
        <v>85</v>
      </c>
      <c r="B109" s="353">
        <v>35.704413000000002</v>
      </c>
      <c r="C109" s="353">
        <v>18.725422999999999</v>
      </c>
      <c r="D109" s="353"/>
      <c r="E109" s="353"/>
      <c r="F109" s="353"/>
      <c r="G109" s="353"/>
      <c r="I109" s="352" t="s">
        <v>85</v>
      </c>
      <c r="J109" s="353">
        <v>33.704413000000002</v>
      </c>
      <c r="K109" s="353">
        <v>16.725422999999999</v>
      </c>
      <c r="L109" s="353"/>
      <c r="M109" s="353"/>
      <c r="N109" s="353"/>
      <c r="O109" s="353"/>
      <c r="Q109" s="352" t="s">
        <v>85</v>
      </c>
      <c r="R109" s="353">
        <v>31.704412999999999</v>
      </c>
      <c r="S109" s="353">
        <v>14.725422999999999</v>
      </c>
      <c r="T109" s="353"/>
      <c r="U109" s="353"/>
      <c r="V109" s="353"/>
      <c r="W109" s="353"/>
    </row>
    <row r="110" spans="1:23" s="359" customFormat="1">
      <c r="A110" s="352" t="s">
        <v>87</v>
      </c>
      <c r="B110" s="353">
        <v>23.376926999999998</v>
      </c>
      <c r="C110" s="353">
        <v>13.617621</v>
      </c>
      <c r="D110" s="353">
        <v>7.4815339999999999</v>
      </c>
      <c r="E110" s="353">
        <v>10.886333</v>
      </c>
      <c r="F110" s="353">
        <v>11.513851000000001</v>
      </c>
      <c r="G110" s="353">
        <v>11.442287</v>
      </c>
      <c r="I110" s="352" t="s">
        <v>87</v>
      </c>
      <c r="J110" s="353">
        <v>21.876926999999998</v>
      </c>
      <c r="K110" s="353">
        <v>12.117621</v>
      </c>
      <c r="L110" s="353">
        <v>5.9815339999999999</v>
      </c>
      <c r="M110" s="353">
        <v>9.3863330000000005</v>
      </c>
      <c r="N110" s="353">
        <v>10.013851000000001</v>
      </c>
      <c r="O110" s="353">
        <v>9.9422870000000003</v>
      </c>
      <c r="Q110" s="352" t="s">
        <v>87</v>
      </c>
      <c r="R110" s="353">
        <v>20.876926999999998</v>
      </c>
      <c r="S110" s="353">
        <v>11.117621</v>
      </c>
      <c r="T110" s="353">
        <v>4.9815339999999999</v>
      </c>
      <c r="U110" s="353">
        <v>7.3863329999999996</v>
      </c>
      <c r="V110" s="353">
        <v>7.5138509999999998</v>
      </c>
      <c r="W110" s="353">
        <v>7.4422870000000003</v>
      </c>
    </row>
    <row r="111" spans="1:23" s="359" customFormat="1">
      <c r="A111" s="352" t="s">
        <v>89</v>
      </c>
      <c r="B111" s="353">
        <v>32.595368000000001</v>
      </c>
      <c r="C111" s="353">
        <v>18.514709</v>
      </c>
      <c r="D111" s="353">
        <v>9.8018809999999998</v>
      </c>
      <c r="E111" s="353">
        <v>12.393829</v>
      </c>
      <c r="F111" s="353">
        <v>11.125113000000001</v>
      </c>
      <c r="G111" s="353">
        <v>11.004181000000001</v>
      </c>
      <c r="I111" s="352" t="s">
        <v>89</v>
      </c>
      <c r="J111" s="353">
        <v>31.095368000000001</v>
      </c>
      <c r="K111" s="353">
        <v>17.014709</v>
      </c>
      <c r="L111" s="353">
        <v>8.3018809999999998</v>
      </c>
      <c r="M111" s="353">
        <v>10.893829</v>
      </c>
      <c r="N111" s="353">
        <v>9.6251130000000007</v>
      </c>
      <c r="O111" s="353">
        <v>9.5041810000000009</v>
      </c>
      <c r="Q111" s="352" t="s">
        <v>89</v>
      </c>
      <c r="R111" s="353">
        <v>30.095368000000001</v>
      </c>
      <c r="S111" s="353">
        <v>16.014709</v>
      </c>
      <c r="T111" s="353">
        <v>7.3018809999999998</v>
      </c>
      <c r="U111" s="353">
        <v>8.8938290000000002</v>
      </c>
      <c r="V111" s="353">
        <v>7.1251129999999998</v>
      </c>
      <c r="W111" s="353">
        <v>7.004181</v>
      </c>
    </row>
    <row r="112" spans="1:23" s="359" customFormat="1">
      <c r="A112" s="362"/>
      <c r="B112" s="369"/>
      <c r="C112" s="369"/>
      <c r="D112" s="369"/>
      <c r="E112" s="369"/>
      <c r="F112" s="369"/>
      <c r="G112" s="369"/>
      <c r="I112" s="362"/>
      <c r="J112" s="369"/>
      <c r="K112" s="369"/>
      <c r="L112" s="369"/>
      <c r="M112" s="369"/>
      <c r="N112" s="369"/>
      <c r="O112" s="369"/>
      <c r="Q112" s="362"/>
      <c r="R112" s="369"/>
      <c r="S112" s="369"/>
      <c r="T112" s="369"/>
      <c r="U112" s="369"/>
      <c r="V112" s="369"/>
      <c r="W112" s="369"/>
    </row>
    <row r="113" spans="1:23" s="359" customFormat="1">
      <c r="A113" s="362" t="s">
        <v>355</v>
      </c>
      <c r="B113" s="369"/>
      <c r="C113" s="369"/>
      <c r="D113" s="369"/>
      <c r="E113" s="369"/>
      <c r="F113" s="369"/>
      <c r="G113" s="369"/>
      <c r="I113" s="362" t="s">
        <v>355</v>
      </c>
      <c r="J113" s="369"/>
      <c r="K113" s="369"/>
      <c r="L113" s="369"/>
      <c r="M113" s="369"/>
      <c r="N113" s="369"/>
      <c r="O113" s="369"/>
      <c r="Q113" s="362" t="s">
        <v>355</v>
      </c>
      <c r="R113" s="369"/>
      <c r="S113" s="369"/>
      <c r="T113" s="369"/>
      <c r="U113" s="369"/>
      <c r="V113" s="369"/>
      <c r="W113" s="369"/>
    </row>
    <row r="114" spans="1:23" s="359" customFormat="1" ht="14.25" customHeight="1">
      <c r="A114" s="367" t="s">
        <v>357</v>
      </c>
      <c r="B114" s="367"/>
      <c r="C114" s="367"/>
      <c r="D114" s="367"/>
      <c r="E114" s="367"/>
      <c r="F114" s="367"/>
      <c r="G114" s="367"/>
      <c r="H114" s="364"/>
      <c r="I114" s="367" t="s">
        <v>357</v>
      </c>
      <c r="J114" s="367"/>
      <c r="K114" s="367"/>
      <c r="L114" s="367"/>
      <c r="M114" s="367"/>
      <c r="N114" s="367"/>
      <c r="O114" s="367"/>
      <c r="Q114" s="367" t="s">
        <v>357</v>
      </c>
      <c r="R114" s="367"/>
      <c r="S114" s="367"/>
      <c r="T114" s="367"/>
      <c r="U114" s="367"/>
      <c r="V114" s="367"/>
      <c r="W114" s="367"/>
    </row>
    <row r="115" spans="1:23" s="359" customFormat="1">
      <c r="A115" s="349" t="s">
        <v>351</v>
      </c>
      <c r="B115" s="350" t="s">
        <v>184</v>
      </c>
      <c r="C115" s="350" t="s">
        <v>35</v>
      </c>
      <c r="D115" s="350" t="s">
        <v>185</v>
      </c>
      <c r="E115" s="350" t="s">
        <v>37</v>
      </c>
      <c r="F115" s="350" t="s">
        <v>38</v>
      </c>
      <c r="G115" s="351" t="s">
        <v>39</v>
      </c>
      <c r="I115" s="349" t="s">
        <v>351</v>
      </c>
      <c r="J115" s="350" t="s">
        <v>184</v>
      </c>
      <c r="K115" s="350" t="s">
        <v>35</v>
      </c>
      <c r="L115" s="350" t="s">
        <v>185</v>
      </c>
      <c r="M115" s="350" t="s">
        <v>37</v>
      </c>
      <c r="N115" s="350" t="s">
        <v>38</v>
      </c>
      <c r="O115" s="351" t="s">
        <v>39</v>
      </c>
      <c r="Q115" s="349" t="s">
        <v>351</v>
      </c>
      <c r="R115" s="350" t="s">
        <v>184</v>
      </c>
      <c r="S115" s="350" t="s">
        <v>35</v>
      </c>
      <c r="T115" s="350" t="s">
        <v>185</v>
      </c>
      <c r="U115" s="350" t="s">
        <v>37</v>
      </c>
      <c r="V115" s="350" t="s">
        <v>38</v>
      </c>
      <c r="W115" s="351" t="s">
        <v>39</v>
      </c>
    </row>
    <row r="116" spans="1:23" s="359" customFormat="1">
      <c r="A116" s="352" t="s">
        <v>85</v>
      </c>
      <c r="B116" s="353">
        <f t="shared" ref="B116:G118" si="9">B109</f>
        <v>35.704413000000002</v>
      </c>
      <c r="C116" s="353">
        <f t="shared" si="9"/>
        <v>18.725422999999999</v>
      </c>
      <c r="D116" s="353"/>
      <c r="E116" s="353"/>
      <c r="F116" s="353"/>
      <c r="G116" s="353"/>
      <c r="I116" s="352" t="s">
        <v>85</v>
      </c>
      <c r="J116" s="353">
        <v>33.704413000000002</v>
      </c>
      <c r="K116" s="353">
        <v>16.725422999999999</v>
      </c>
      <c r="L116" s="353"/>
      <c r="M116" s="353"/>
      <c r="N116" s="353"/>
      <c r="O116" s="353"/>
      <c r="Q116" s="352" t="s">
        <v>85</v>
      </c>
      <c r="R116" s="353">
        <v>31.704412999999999</v>
      </c>
      <c r="S116" s="353">
        <v>14.725422999999999</v>
      </c>
      <c r="T116" s="353"/>
      <c r="U116" s="353"/>
      <c r="V116" s="353"/>
      <c r="W116" s="353"/>
    </row>
    <row r="117" spans="1:23" s="359" customFormat="1">
      <c r="A117" s="352" t="s">
        <v>87</v>
      </c>
      <c r="B117" s="353">
        <f t="shared" si="9"/>
        <v>23.376926999999998</v>
      </c>
      <c r="C117" s="353">
        <f t="shared" si="9"/>
        <v>13.617621</v>
      </c>
      <c r="D117" s="353">
        <f t="shared" si="9"/>
        <v>7.4815339999999999</v>
      </c>
      <c r="E117" s="353">
        <f t="shared" si="9"/>
        <v>10.886333</v>
      </c>
      <c r="F117" s="353">
        <f t="shared" si="9"/>
        <v>11.513851000000001</v>
      </c>
      <c r="G117" s="353">
        <f t="shared" si="9"/>
        <v>11.442287</v>
      </c>
      <c r="I117" s="352" t="s">
        <v>87</v>
      </c>
      <c r="J117" s="353">
        <v>21.876926999999998</v>
      </c>
      <c r="K117" s="353">
        <v>12.117621</v>
      </c>
      <c r="L117" s="353">
        <v>5.9815339999999999</v>
      </c>
      <c r="M117" s="353">
        <v>9.3863330000000005</v>
      </c>
      <c r="N117" s="353">
        <v>10.013851000000001</v>
      </c>
      <c r="O117" s="353">
        <v>9.9422870000000003</v>
      </c>
      <c r="Q117" s="352" t="s">
        <v>87</v>
      </c>
      <c r="R117" s="353">
        <v>20.876926999999998</v>
      </c>
      <c r="S117" s="353">
        <v>11.117621</v>
      </c>
      <c r="T117" s="353">
        <v>4.9815339999999999</v>
      </c>
      <c r="U117" s="353">
        <v>7.3863329999999996</v>
      </c>
      <c r="V117" s="353">
        <v>7.5138509999999998</v>
      </c>
      <c r="W117" s="353">
        <v>7.4422870000000003</v>
      </c>
    </row>
    <row r="118" spans="1:23" s="359" customFormat="1">
      <c r="A118" s="352" t="s">
        <v>89</v>
      </c>
      <c r="B118" s="353">
        <f t="shared" si="9"/>
        <v>32.595368000000001</v>
      </c>
      <c r="C118" s="353">
        <f t="shared" si="9"/>
        <v>18.514709</v>
      </c>
      <c r="D118" s="353">
        <f t="shared" si="9"/>
        <v>9.8018809999999998</v>
      </c>
      <c r="E118" s="353">
        <f t="shared" si="9"/>
        <v>12.393829</v>
      </c>
      <c r="F118" s="353">
        <f t="shared" si="9"/>
        <v>11.125113000000001</v>
      </c>
      <c r="G118" s="353">
        <f t="shared" si="9"/>
        <v>11.004181000000001</v>
      </c>
      <c r="I118" s="352" t="s">
        <v>89</v>
      </c>
      <c r="J118" s="353">
        <v>31.095368000000001</v>
      </c>
      <c r="K118" s="353">
        <v>17.014709</v>
      </c>
      <c r="L118" s="353">
        <v>8.3018809999999998</v>
      </c>
      <c r="M118" s="353">
        <v>10.893829</v>
      </c>
      <c r="N118" s="353">
        <v>9.6251130000000007</v>
      </c>
      <c r="O118" s="353">
        <v>9.5041810000000009</v>
      </c>
      <c r="Q118" s="352" t="s">
        <v>89</v>
      </c>
      <c r="R118" s="353">
        <v>30.095368000000001</v>
      </c>
      <c r="S118" s="353">
        <v>16.014709</v>
      </c>
      <c r="T118" s="353">
        <v>7.3018809999999998</v>
      </c>
      <c r="U118" s="353">
        <v>8.8938290000000002</v>
      </c>
      <c r="V118" s="353">
        <v>7.1251129999999998</v>
      </c>
      <c r="W118" s="353">
        <v>7.004181</v>
      </c>
    </row>
    <row r="119" spans="1:23" s="359" customFormat="1">
      <c r="A119" s="362"/>
      <c r="B119" s="369"/>
      <c r="C119" s="369"/>
      <c r="D119" s="369"/>
      <c r="E119" s="369"/>
      <c r="F119" s="369"/>
      <c r="G119" s="369"/>
      <c r="I119" s="362"/>
      <c r="J119" s="369"/>
      <c r="K119" s="369"/>
      <c r="L119" s="369"/>
      <c r="M119" s="369"/>
      <c r="N119" s="369"/>
      <c r="O119" s="369"/>
      <c r="Q119" s="362"/>
      <c r="R119" s="369"/>
      <c r="S119" s="369"/>
      <c r="T119" s="369"/>
      <c r="U119" s="369"/>
      <c r="V119" s="369"/>
      <c r="W119" s="369"/>
    </row>
    <row r="120" spans="1:23" s="359" customFormat="1">
      <c r="A120" s="362" t="s">
        <v>356</v>
      </c>
      <c r="B120" s="369"/>
      <c r="C120" s="369"/>
      <c r="D120" s="369"/>
      <c r="E120" s="369"/>
      <c r="F120" s="369"/>
      <c r="G120" s="369"/>
      <c r="I120" s="362" t="s">
        <v>356</v>
      </c>
      <c r="J120" s="369"/>
      <c r="K120" s="369"/>
      <c r="L120" s="369"/>
      <c r="M120" s="369"/>
      <c r="N120" s="369"/>
      <c r="O120" s="369"/>
      <c r="Q120" s="362" t="s">
        <v>356</v>
      </c>
      <c r="R120" s="369"/>
      <c r="S120" s="369"/>
      <c r="T120" s="369"/>
      <c r="U120" s="369"/>
      <c r="V120" s="369"/>
      <c r="W120" s="369"/>
    </row>
    <row r="121" spans="1:23" s="359" customFormat="1" ht="14.25" customHeight="1">
      <c r="A121" s="367" t="s">
        <v>357</v>
      </c>
      <c r="B121" s="367"/>
      <c r="C121" s="367"/>
      <c r="D121" s="367"/>
      <c r="E121" s="367"/>
      <c r="F121" s="367"/>
      <c r="G121" s="367"/>
      <c r="H121" s="364"/>
      <c r="I121" s="367" t="s">
        <v>357</v>
      </c>
      <c r="J121" s="367"/>
      <c r="K121" s="367"/>
      <c r="L121" s="367"/>
      <c r="M121" s="367"/>
      <c r="N121" s="367"/>
      <c r="O121" s="367"/>
      <c r="Q121" s="367" t="s">
        <v>357</v>
      </c>
      <c r="R121" s="367"/>
      <c r="S121" s="367"/>
      <c r="T121" s="367"/>
      <c r="U121" s="367"/>
      <c r="V121" s="367"/>
      <c r="W121" s="367"/>
    </row>
    <row r="122" spans="1:23" s="359" customFormat="1">
      <c r="A122" s="349" t="s">
        <v>351</v>
      </c>
      <c r="B122" s="350" t="s">
        <v>184</v>
      </c>
      <c r="C122" s="350" t="s">
        <v>35</v>
      </c>
      <c r="D122" s="350" t="s">
        <v>185</v>
      </c>
      <c r="E122" s="350" t="s">
        <v>37</v>
      </c>
      <c r="F122" s="350" t="s">
        <v>38</v>
      </c>
      <c r="G122" s="351" t="s">
        <v>39</v>
      </c>
      <c r="I122" s="349" t="s">
        <v>351</v>
      </c>
      <c r="J122" s="350" t="s">
        <v>184</v>
      </c>
      <c r="K122" s="350" t="s">
        <v>35</v>
      </c>
      <c r="L122" s="350" t="s">
        <v>185</v>
      </c>
      <c r="M122" s="350" t="s">
        <v>37</v>
      </c>
      <c r="N122" s="350" t="s">
        <v>38</v>
      </c>
      <c r="O122" s="351" t="s">
        <v>39</v>
      </c>
      <c r="Q122" s="349" t="s">
        <v>351</v>
      </c>
      <c r="R122" s="350" t="s">
        <v>184</v>
      </c>
      <c r="S122" s="350" t="s">
        <v>35</v>
      </c>
      <c r="T122" s="350" t="s">
        <v>185</v>
      </c>
      <c r="U122" s="350" t="s">
        <v>37</v>
      </c>
      <c r="V122" s="350" t="s">
        <v>38</v>
      </c>
      <c r="W122" s="351" t="s">
        <v>39</v>
      </c>
    </row>
    <row r="123" spans="1:23" s="359" customFormat="1">
      <c r="A123" s="352" t="s">
        <v>85</v>
      </c>
      <c r="B123" s="353">
        <f>B109</f>
        <v>35.704413000000002</v>
      </c>
      <c r="C123" s="353">
        <f t="shared" ref="C123" si="10">C109</f>
        <v>18.725422999999999</v>
      </c>
      <c r="D123" s="353"/>
      <c r="E123" s="353"/>
      <c r="F123" s="353"/>
      <c r="G123" s="353"/>
      <c r="I123" s="352" t="s">
        <v>85</v>
      </c>
      <c r="J123" s="353">
        <v>33.704413000000002</v>
      </c>
      <c r="K123" s="353">
        <v>16.725422999999999</v>
      </c>
      <c r="L123" s="353"/>
      <c r="M123" s="353"/>
      <c r="N123" s="353"/>
      <c r="O123" s="353"/>
      <c r="Q123" s="352" t="s">
        <v>85</v>
      </c>
      <c r="R123" s="353">
        <v>31.704412999999999</v>
      </c>
      <c r="S123" s="353">
        <v>14.725422999999999</v>
      </c>
      <c r="T123" s="353"/>
      <c r="U123" s="353"/>
      <c r="V123" s="353"/>
      <c r="W123" s="353"/>
    </row>
    <row r="124" spans="1:23" s="359" customFormat="1">
      <c r="A124" s="352" t="s">
        <v>87</v>
      </c>
      <c r="B124" s="353">
        <f t="shared" ref="B124:G125" si="11">B110</f>
        <v>23.376926999999998</v>
      </c>
      <c r="C124" s="353">
        <f t="shared" si="11"/>
        <v>13.617621</v>
      </c>
      <c r="D124" s="353">
        <f t="shared" si="11"/>
        <v>7.4815339999999999</v>
      </c>
      <c r="E124" s="353">
        <f t="shared" si="11"/>
        <v>10.886333</v>
      </c>
      <c r="F124" s="353">
        <f t="shared" si="11"/>
        <v>11.513851000000001</v>
      </c>
      <c r="G124" s="353">
        <f t="shared" si="11"/>
        <v>11.442287</v>
      </c>
      <c r="I124" s="352" t="s">
        <v>87</v>
      </c>
      <c r="J124" s="353">
        <v>21.876926999999998</v>
      </c>
      <c r="K124" s="353">
        <v>12.117621</v>
      </c>
      <c r="L124" s="353">
        <v>5.9815339999999999</v>
      </c>
      <c r="M124" s="353">
        <v>9.3863330000000005</v>
      </c>
      <c r="N124" s="353">
        <v>10.013851000000001</v>
      </c>
      <c r="O124" s="353">
        <v>9.9422870000000003</v>
      </c>
      <c r="Q124" s="352" t="s">
        <v>87</v>
      </c>
      <c r="R124" s="353">
        <v>20.876926999999998</v>
      </c>
      <c r="S124" s="353">
        <v>11.117621</v>
      </c>
      <c r="T124" s="353">
        <v>4.9815339999999999</v>
      </c>
      <c r="U124" s="353">
        <v>7.3863329999999996</v>
      </c>
      <c r="V124" s="353">
        <v>7.5138509999999998</v>
      </c>
      <c r="W124" s="353">
        <v>7.4422870000000003</v>
      </c>
    </row>
    <row r="125" spans="1:23" s="359" customFormat="1">
      <c r="A125" s="352" t="s">
        <v>89</v>
      </c>
      <c r="B125" s="353">
        <f t="shared" si="11"/>
        <v>32.595368000000001</v>
      </c>
      <c r="C125" s="353">
        <f t="shared" si="11"/>
        <v>18.514709</v>
      </c>
      <c r="D125" s="353">
        <f t="shared" si="11"/>
        <v>9.8018809999999998</v>
      </c>
      <c r="E125" s="353">
        <f t="shared" si="11"/>
        <v>12.393829</v>
      </c>
      <c r="F125" s="353">
        <f t="shared" si="11"/>
        <v>11.125113000000001</v>
      </c>
      <c r="G125" s="353">
        <f t="shared" si="11"/>
        <v>11.004181000000001</v>
      </c>
      <c r="I125" s="352" t="s">
        <v>89</v>
      </c>
      <c r="J125" s="353">
        <v>31.095368000000001</v>
      </c>
      <c r="K125" s="353">
        <v>17.014709</v>
      </c>
      <c r="L125" s="353">
        <v>8.3018809999999998</v>
      </c>
      <c r="M125" s="353">
        <v>10.893829</v>
      </c>
      <c r="N125" s="353">
        <v>9.6251130000000007</v>
      </c>
      <c r="O125" s="353">
        <v>9.5041810000000009</v>
      </c>
      <c r="Q125" s="352" t="s">
        <v>89</v>
      </c>
      <c r="R125" s="353">
        <v>30.095368000000001</v>
      </c>
      <c r="S125" s="353">
        <v>16.014709</v>
      </c>
      <c r="T125" s="353">
        <v>7.3018809999999998</v>
      </c>
      <c r="U125" s="353">
        <v>8.8938290000000002</v>
      </c>
      <c r="V125" s="353">
        <v>7.1251129999999998</v>
      </c>
      <c r="W125" s="353">
        <v>7.004181</v>
      </c>
    </row>
    <row r="126" spans="1:23" s="359" customFormat="1">
      <c r="A126" s="357"/>
    </row>
  </sheetData>
  <mergeCells count="45">
    <mergeCell ref="A114:G114"/>
    <mergeCell ref="I114:O114"/>
    <mergeCell ref="Q114:W114"/>
    <mergeCell ref="A121:G121"/>
    <mergeCell ref="I121:O121"/>
    <mergeCell ref="Q121:W121"/>
    <mergeCell ref="B97:G97"/>
    <mergeCell ref="J97:O97"/>
    <mergeCell ref="R97:W97"/>
    <mergeCell ref="I104:P104"/>
    <mergeCell ref="A107:G107"/>
    <mergeCell ref="I107:O107"/>
    <mergeCell ref="Q107:W107"/>
    <mergeCell ref="B83:G83"/>
    <mergeCell ref="J83:O83"/>
    <mergeCell ref="R83:W83"/>
    <mergeCell ref="B90:G90"/>
    <mergeCell ref="J90:O90"/>
    <mergeCell ref="R90:W90"/>
    <mergeCell ref="A62:G62"/>
    <mergeCell ref="I62:O62"/>
    <mergeCell ref="Q62:W62"/>
    <mergeCell ref="A69:G69"/>
    <mergeCell ref="I69:O69"/>
    <mergeCell ref="Q69:W69"/>
    <mergeCell ref="B45:G45"/>
    <mergeCell ref="J45:O45"/>
    <mergeCell ref="R45:W45"/>
    <mergeCell ref="I52:P52"/>
    <mergeCell ref="A55:G55"/>
    <mergeCell ref="I55:O55"/>
    <mergeCell ref="Q55:W55"/>
    <mergeCell ref="B31:G31"/>
    <mergeCell ref="J31:O31"/>
    <mergeCell ref="R31:W31"/>
    <mergeCell ref="B38:G38"/>
    <mergeCell ref="J38:O38"/>
    <mergeCell ref="R38:W38"/>
    <mergeCell ref="B9:G9"/>
    <mergeCell ref="J9:O9"/>
    <mergeCell ref="R9:W9"/>
    <mergeCell ref="I15:P15"/>
    <mergeCell ref="A18:G18"/>
    <mergeCell ref="I18:O18"/>
    <mergeCell ref="Q18:W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TARIFAS CRM</vt:lpstr>
      <vt:lpstr>Naturgy Pymes</vt:lpstr>
      <vt:lpstr>Iberdrola</vt:lpstr>
      <vt:lpstr>AXPO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Macías Salete</dc:creator>
  <cp:lastModifiedBy>Jorge Macías</cp:lastModifiedBy>
  <dcterms:created xsi:type="dcterms:W3CDTF">2026-01-09T11:27:35Z</dcterms:created>
  <dcterms:modified xsi:type="dcterms:W3CDTF">2026-01-10T11:51:44Z</dcterms:modified>
</cp:coreProperties>
</file>